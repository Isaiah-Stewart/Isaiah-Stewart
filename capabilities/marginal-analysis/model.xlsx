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Inputs" sheetId="1" state="visible" r:id="rId3"/>
    <sheet name="2_Schedules" sheetId="2" state="visible" r:id="rId4"/>
    <sheet name="3_Optimize" sheetId="3" state="visible" r:id="rId5"/>
    <sheet name="4_Results" sheetId="4" state="visible" r:id="rId6"/>
    <sheet name="5_Checks" sheetId="5" state="visible" r:id="rId7"/>
  </sheets>
  <definedNames>
    <definedName function="false" hidden="false" name="calc_BedsUsed" vbProcedure="false">3_Optimize!$C$31</definedName>
    <definedName function="false" hidden="false" name="calc_FertCost" vbProcedure="false">3_Optimize!$C$19</definedName>
    <definedName function="false" hidden="false" name="calc_FixedCost" vbProcedure="false">3_Optimize!$C$20</definedName>
    <definedName function="false" hidden="false" name="calc_HoursTotal" vbProcedure="false">3_Optimize!$C$27</definedName>
    <definedName function="false" hidden="false" name="calc_Hours_Car" vbProcedure="false">3_Optimize!$C$25</definedName>
    <definedName function="false" hidden="false" name="calc_Hours_Mes" vbProcedure="false">3_Optimize!$C$26</definedName>
    <definedName function="false" hidden="false" name="calc_Hours_Tom" vbProcedure="false">3_Optimize!$C$24</definedName>
    <definedName function="false" hidden="false" name="calc_IncLast_Car" vbProcedure="false">3_Optimize!$B$66</definedName>
    <definedName function="false" hidden="false" name="calc_IncLast_Mes" vbProcedure="false">3_Optimize!$B$67</definedName>
    <definedName function="false" hidden="false" name="calc_IncLast_Tom" vbProcedure="false">3_Optimize!$B$65</definedName>
    <definedName function="false" hidden="false" name="calc_IncNext_Car" vbProcedure="false">3_Optimize!$C$66</definedName>
    <definedName function="false" hidden="false" name="calc_IncNext_Mes" vbProcedure="false">3_Optimize!$C$67</definedName>
    <definedName function="false" hidden="false" name="calc_IncNext_Tom" vbProcedure="false">3_Optimize!$C$65</definedName>
    <definedName function="false" hidden="false" name="calc_LaborCost" vbProcedure="false">3_Optimize!$C$18</definedName>
    <definedName function="false" hidden="false" name="calc_OwnerHoursUsed" vbProcedure="false">3_Optimize!$C$28</definedName>
    <definedName function="false" hidden="false" name="calc_Profit" vbProcedure="false">3_Optimize!$C$14</definedName>
    <definedName function="false" hidden="false" name="calc_Revenue" vbProcedure="false">3_Optimize!$C$17</definedName>
    <definedName function="false" hidden="false" name="calc_TempHoursUsed" vbProcedure="false">3_Optimize!$C$29</definedName>
    <definedName function="false" hidden="false" name="calc_TempWorkers" vbProcedure="false">3_Optimize!$C$30</definedName>
    <definedName function="false" hidden="false" name="calc_TotalCost" vbProcedure="false">3_Optimize!$C$21</definedName>
    <definedName function="false" hidden="false" name="cap_TempHours" vbProcedure="false">1_Inputs!$C$43</definedName>
    <definedName function="false" hidden="false" name="CHK_PASSED" vbProcedure="false">5_Checks!$C$86</definedName>
    <definedName function="false" hidden="false" name="CHK_TOTAL" vbProcedure="false">5_Checks!$D$86</definedName>
    <definedName function="false" hidden="false" name="dec_Beds_Car" vbProcedure="false">3_Optimize!$C$8</definedName>
    <definedName function="false" hidden="false" name="dec_Beds_Mes" vbProcedure="false">3_Optimize!$C$9</definedName>
    <definedName function="false" hidden="false" name="dec_Beds_Tom" vbProcedure="false">3_Optimize!$C$7</definedName>
    <definedName function="false" hidden="false" name="in_BedCap_Car" vbProcedure="false">1_Inputs!$C$26</definedName>
    <definedName function="false" hidden="false" name="in_BedCap_Mes" vbProcedure="false">1_Inputs!$C$27</definedName>
    <definedName function="false" hidden="false" name="in_BedCap_Tom" vbProcedure="false">1_Inputs!$C$25</definedName>
    <definedName function="false" hidden="false" name="in_BedsTotal" vbProcedure="false">1_Inputs!$C$8</definedName>
    <definedName function="false" hidden="false" name="in_Dim_Car" vbProcedure="false">1_Inputs!$C$23</definedName>
    <definedName function="false" hidden="false" name="in_Dim_Mes" vbProcedure="false">1_Inputs!$C$24</definedName>
    <definedName function="false" hidden="false" name="in_Dim_Tom" vbProcedure="false">1_Inputs!$C$22</definedName>
    <definedName function="false" hidden="false" name="in_Fert_Car" vbProcedure="false">1_Inputs!$C$20</definedName>
    <definedName function="false" hidden="false" name="in_Fert_Mes" vbProcedure="false">1_Inputs!$C$21</definedName>
    <definedName function="false" hidden="false" name="in_Fert_Tom" vbProcedure="false">1_Inputs!$C$19</definedName>
    <definedName function="false" hidden="false" name="in_FixedCost" vbProcedure="false">1_Inputs!$C$9</definedName>
    <definedName function="false" hidden="false" name="in_HrsWkBed_Car" vbProcedure="false">1_Inputs!$C$17</definedName>
    <definedName function="false" hidden="false" name="in_HrsWkBed_Mes" vbProcedure="false">1_Inputs!$C$18</definedName>
    <definedName function="false" hidden="false" name="in_HrsWkBed_Tom" vbProcedure="false">1_Inputs!$C$16</definedName>
    <definedName function="false" hidden="false" name="in_OwnerFieldHrs" vbProcedure="false">1_Inputs!$C$40</definedName>
    <definedName function="false" hidden="false" name="in_OwnerFieldShare" vbProcedure="false">1_Inputs!$C$33</definedName>
    <definedName function="false" hidden="false" name="in_OwnerHrsPaid" vbProcedure="false">1_Inputs!$C$32</definedName>
    <definedName function="false" hidden="false" name="in_OwnerPay" vbProcedure="false">1_Inputs!$C$31</definedName>
    <definedName function="false" hidden="false" name="in_RevBed_Car" vbProcedure="false">1_Inputs!$C$14</definedName>
    <definedName function="false" hidden="false" name="in_RevBed_Mes" vbProcedure="false">1_Inputs!$C$15</definedName>
    <definedName function="false" hidden="false" name="in_RevBed_Tom" vbProcedure="false">1_Inputs!$C$13</definedName>
    <definedName function="false" hidden="false" name="in_TempHrsEach" vbProcedure="false">1_Inputs!$C$35</definedName>
    <definedName function="false" hidden="false" name="in_TempMax" vbProcedure="false">1_Inputs!$C$36</definedName>
    <definedName function="false" hidden="false" name="in_TempPay" vbProcedure="false">1_Inputs!$C$34</definedName>
    <definedName function="false" hidden="false" name="in_WeeksSeason" vbProcedure="false">1_Inputs!$C$7</definedName>
    <definedName function="false" hidden="false" name="NB_Beats" vbProcedure="false">5_Checks!$N$90:$N$95</definedName>
    <definedName function="false" hidden="false" name="out_BedsUsed" vbProcedure="false">4_Results!$C$10</definedName>
    <definedName function="false" hidden="false" name="out_Beds_Car" vbProcedure="false">4_Results!$C$8</definedName>
    <definedName function="false" hidden="false" name="out_Beds_Mes" vbProcedure="false">4_Results!$C$9</definedName>
    <definedName function="false" hidden="false" name="out_Beds_Tom" vbProcedure="false">4_Results!$C$7</definedName>
    <definedName function="false" hidden="false" name="out_BindingConstraints" vbProcedure="false">4_Results!$B$28</definedName>
    <definedName function="false" hidden="false" name="out_ChecksPassed" vbProcedure="false">4_Results!$B$29</definedName>
    <definedName function="false" hidden="false" name="out_FertCost" vbProcedure="false">4_Results!$C$14</definedName>
    <definedName function="false" hidden="false" name="out_FixedCost" vbProcedure="false">4_Results!$C$15</definedName>
    <definedName function="false" hidden="false" name="out_HoursTotal" vbProcedure="false">4_Results!$C$17</definedName>
    <definedName function="false" hidden="false" name="out_LaborCost" vbProcedure="false">4_Results!$C$13</definedName>
    <definedName function="false" hidden="false" name="out_MCLast_Car" vbProcedure="false">4_Results!$B$25</definedName>
    <definedName function="false" hidden="false" name="out_MCLast_Mes" vbProcedure="false">4_Results!$B$26</definedName>
    <definedName function="false" hidden="false" name="out_MCLast_Tom" vbProcedure="false">4_Results!$B$24</definedName>
    <definedName function="false" hidden="false" name="out_MCNext_Car" vbProcedure="false">4_Results!$C$25</definedName>
    <definedName function="false" hidden="false" name="out_MCNext_Mes" vbProcedure="false">4_Results!$C$26</definedName>
    <definedName function="false" hidden="false" name="out_MCNext_Tom" vbProcedure="false">4_Results!$C$24</definedName>
    <definedName function="false" hidden="false" name="out_OwnerHours" vbProcedure="false">4_Results!$C$18</definedName>
    <definedName function="false" hidden="false" name="out_Profit" vbProcedure="false">4_Results!$C$11</definedName>
    <definedName function="false" hidden="false" name="out_Revenue" vbProcedure="false">4_Results!$C$12</definedName>
    <definedName function="false" hidden="false" name="out_StopReason_Car" vbProcedure="false">3_Optimize!$E$66</definedName>
    <definedName function="false" hidden="false" name="out_StopReason_Mes" vbProcedure="false">3_Optimize!$E$67</definedName>
    <definedName function="false" hidden="false" name="out_StopReason_Tom" vbProcedure="false">3_Optimize!$E$65</definedName>
    <definedName function="false" hidden="false" name="out_TempHours" vbProcedure="false">4_Results!$C$19</definedName>
    <definedName function="false" hidden="false" name="out_TempWorkers" vbProcedure="false">4_Results!$C$20</definedName>
    <definedName function="false" hidden="false" name="out_TotalCost" vbProcedure="false">4_Results!$C$16</definedName>
    <definedName function="false" hidden="false" name="rate_Owner" vbProcedure="false">1_Inputs!$C$41</definedName>
    <definedName function="false" hidden="false" name="rate_Temp" vbProcedure="false">1_Inputs!$C$42</definedName>
    <definedName function="false" hidden="false" name="sch_CumCost_Car" vbProcedure="false">2_Schedules!$L$7:$L$26</definedName>
    <definedName function="false" hidden="false" name="sch_CumCost_Mes" vbProcedure="false">2_Schedules!$S$7:$S$36</definedName>
    <definedName function="false" hidden="false" name="sch_CumCost_Tom" vbProcedure="false">2_Schedules!$E$7:$E$26</definedName>
    <definedName function="false" hidden="false" name="sch_Hours_Car" vbProcedure="false">2_Schedules!$J$7:$J$26</definedName>
    <definedName function="false" hidden="false" name="sch_Hours_Mes" vbProcedure="false">2_Schedules!$Q$7:$Q$36</definedName>
    <definedName function="false" hidden="false" name="sch_Hours_Tom" vbProcedure="false">2_Schedules!$C$7:$C$26</definedName>
    <definedName function="false" hidden="false" name="sch_MC_Car" vbProcedure="false">2_Schedules!$M$7:$M$26</definedName>
    <definedName function="false" hidden="false" name="sch_MC_Mes" vbProcedure="false">2_Schedules!$T$7:$T$36</definedName>
    <definedName function="false" hidden="false" name="sch_MC_Tom" vbProcedure="false">2_Schedules!$F$7:$F$26</definedName>
    <definedName function="false" hidden="false" name="sch_MgHours_Car" vbProcedure="false">2_Schedules!$K$7:$K$26</definedName>
    <definedName function="false" hidden="false" name="sch_MgHours_Mes" vbProcedure="false">2_Schedules!$R$7:$R$36</definedName>
    <definedName function="false" hidden="false" name="sch_MgHours_Tom" vbProcedure="false">2_Schedules!$D$7:$D$26</definedName>
    <definedName function="false" hidden="false" name="sch_q_Car" vbProcedure="false">2_Schedules!$I$7:$I$26</definedName>
    <definedName function="false" hidden="false" name="sch_q_Mes" vbProcedure="false">2_Schedules!$P$7:$P$36</definedName>
    <definedName function="false" hidden="false" name="sch_q_Tom" vbProcedure="false">2_Schedules!$B$7:$B$26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<sst xmlns="http://schemas.openxmlformats.org/spreadsheetml/2006/main" count="586" uniqueCount="453">
  <si>
    <t xml:space="preserve">FARM PLANTING OPTIMIZATION MODEL</t>
  </si>
  <si>
    <t xml:space="preserve">1_Inputs  ·  named input contract  ·  the only sheet containing typed numbers</t>
  </si>
  <si>
    <t xml:space="preserve">Colour convention:  blue = typed input    black = formula on this sheet    green = link from another sheet.  Edit blue cells only.</t>
  </si>
  <si>
    <t xml:space="preserve">1.1  Season and farm</t>
  </si>
  <si>
    <t xml:space="preserve">Input</t>
  </si>
  <si>
    <t xml:space="preserve">Named range</t>
  </si>
  <si>
    <t xml:space="preserve">Value</t>
  </si>
  <si>
    <t xml:space="preserve">Unit</t>
  </si>
  <si>
    <t xml:space="preserve">Source</t>
  </si>
  <si>
    <t xml:space="preserve">Season length</t>
  </si>
  <si>
    <t xml:space="preserve">in_WeeksSeason</t>
  </si>
  <si>
    <t xml:space="preserve">weeks</t>
  </si>
  <si>
    <t xml:space="preserve">Case givens - season length</t>
  </si>
  <si>
    <t xml:space="preserve">Beds available</t>
  </si>
  <si>
    <t xml:space="preserve">in_BedsTotal</t>
  </si>
  <si>
    <t xml:space="preserve">beds</t>
  </si>
  <si>
    <t xml:space="preserve">Case givens - beds available across all crops</t>
  </si>
  <si>
    <t xml:space="preserve">Fixed costs</t>
  </si>
  <si>
    <t xml:space="preserve">in_FixedCost</t>
  </si>
  <si>
    <t xml:space="preserve">$ / season</t>
  </si>
  <si>
    <t xml:space="preserve">Case givens - fixed costs</t>
  </si>
  <si>
    <t xml:space="preserve">1.2  Crop parameters</t>
  </si>
  <si>
    <t xml:space="preserve">Revenue per bed - tomatoes</t>
  </si>
  <si>
    <t xml:space="preserve">in_RevBed_Tom</t>
  </si>
  <si>
    <t xml:space="preserve">$ / bed / season</t>
  </si>
  <si>
    <t xml:space="preserve">Case givens - tomato revenue per bed</t>
  </si>
  <si>
    <t xml:space="preserve">Revenue per bed - carrots</t>
  </si>
  <si>
    <t xml:space="preserve">in_RevBed_Car</t>
  </si>
  <si>
    <t xml:space="preserve">Case givens - carrot revenue per bed</t>
  </si>
  <si>
    <t xml:space="preserve">Revenue per bed - mesclun</t>
  </si>
  <si>
    <t xml:space="preserve">in_RevBed_Mes</t>
  </si>
  <si>
    <t xml:space="preserve">Case givens - mesclun revenue per bed</t>
  </si>
  <si>
    <t xml:space="preserve">Field hours - tomatoes</t>
  </si>
  <si>
    <t xml:space="preserve">in_HrsWkBed_Tom</t>
  </si>
  <si>
    <t xml:space="preserve">hours / week / bed</t>
  </si>
  <si>
    <t xml:space="preserve">Case givens - tomato field hours</t>
  </si>
  <si>
    <t xml:space="preserve">Field hours - carrots</t>
  </si>
  <si>
    <t xml:space="preserve">in_HrsWkBed_Car</t>
  </si>
  <si>
    <t xml:space="preserve">Case givens (2.5 / 3). Derived, not typed - see 1.5</t>
  </si>
  <si>
    <t xml:space="preserve">Field hours - mesclun</t>
  </si>
  <si>
    <t xml:space="preserve">in_HrsWkBed_Mes</t>
  </si>
  <si>
    <t xml:space="preserve">Case givens (2.5 / 2). Derived, not typed - see 1.5</t>
  </si>
  <si>
    <t xml:space="preserve">Fertilizer - tomatoes</t>
  </si>
  <si>
    <t xml:space="preserve">in_Fert_Tom</t>
  </si>
  <si>
    <t xml:space="preserve">$ / bed</t>
  </si>
  <si>
    <t xml:space="preserve">Case givens - tomato fertilizer</t>
  </si>
  <si>
    <t xml:space="preserve">Fertilizer - carrots</t>
  </si>
  <si>
    <t xml:space="preserve">in_Fert_Car</t>
  </si>
  <si>
    <t xml:space="preserve">Case givens - carrot fertilizer</t>
  </si>
  <si>
    <t xml:space="preserve">Fertilizer - mesclun</t>
  </si>
  <si>
    <t xml:space="preserve">in_Fert_Mes</t>
  </si>
  <si>
    <t xml:space="preserve">Case givens - mesclun fertilizer</t>
  </si>
  <si>
    <t xml:space="preserve">Diminishing returns - tomatoes</t>
  </si>
  <si>
    <t xml:space="preserve">in_Dim_Tom</t>
  </si>
  <si>
    <t xml:space="preserve">decimal rate</t>
  </si>
  <si>
    <t xml:space="preserve">Case givens - tomato diminishing-returns rate</t>
  </si>
  <si>
    <t xml:space="preserve">Diminishing returns - carrots</t>
  </si>
  <si>
    <t xml:space="preserve">in_Dim_Car</t>
  </si>
  <si>
    <t xml:space="preserve">Case givens - carrot diminishing-returns rate</t>
  </si>
  <si>
    <t xml:space="preserve">Diminishing returns - mesclun</t>
  </si>
  <si>
    <t xml:space="preserve">in_Dim_Mes</t>
  </si>
  <si>
    <t xml:space="preserve">Case givens - mesclun diminishing-returns rate</t>
  </si>
  <si>
    <t xml:space="preserve">Bed cap - tomatoes</t>
  </si>
  <si>
    <t xml:space="preserve">in_BedCap_Tom</t>
  </si>
  <si>
    <t xml:space="preserve">Case givens - tomato bed cap</t>
  </si>
  <si>
    <t xml:space="preserve">Bed cap - carrots</t>
  </si>
  <si>
    <t xml:space="preserve">in_BedCap_Car</t>
  </si>
  <si>
    <t xml:space="preserve">Case givens - carrot bed cap</t>
  </si>
  <si>
    <t xml:space="preserve">Bed cap - mesclun</t>
  </si>
  <si>
    <t xml:space="preserve">in_BedCap_Mes</t>
  </si>
  <si>
    <t xml:space="preserve">Case givens - mesclun bed cap</t>
  </si>
  <si>
    <t xml:space="preserve">1.3  Labor</t>
  </si>
  <si>
    <t xml:space="preserve">Owner pay</t>
  </si>
  <si>
    <t xml:space="preserve">in_OwnerPay</t>
  </si>
  <si>
    <t xml:space="preserve">Case givens - owner pay</t>
  </si>
  <si>
    <t xml:space="preserve">Owner paid hours</t>
  </si>
  <si>
    <t xml:space="preserve">in_OwnerHrsPaid</t>
  </si>
  <si>
    <t xml:space="preserve">hours</t>
  </si>
  <si>
    <t xml:space="preserve">Case givens - 40 hrs/wk x 36 wks</t>
  </si>
  <si>
    <t xml:space="preserve">Owner field share</t>
  </si>
  <si>
    <t xml:space="preserve">in_OwnerFieldShare</t>
  </si>
  <si>
    <t xml:space="preserve">decimal</t>
  </si>
  <si>
    <t xml:space="preserve">Case givens - share of paid hours in the field</t>
  </si>
  <si>
    <t xml:space="preserve">Temp pay</t>
  </si>
  <si>
    <t xml:space="preserve">in_TempPay</t>
  </si>
  <si>
    <t xml:space="preserve">$ / season / worker</t>
  </si>
  <si>
    <t xml:space="preserve">Case givens - temp pay</t>
  </si>
  <si>
    <t xml:space="preserve">Temp hours each</t>
  </si>
  <si>
    <t xml:space="preserve">in_TempHrsEach</t>
  </si>
  <si>
    <t xml:space="preserve">hours / worker</t>
  </si>
  <si>
    <t xml:space="preserve">Case givens - 40 x 36, all in the field</t>
  </si>
  <si>
    <t xml:space="preserve">Temp workers maximum</t>
  </si>
  <si>
    <t xml:space="preserve">in_TempMax</t>
  </si>
  <si>
    <t xml:space="preserve">workers</t>
  </si>
  <si>
    <t xml:space="preserve">Case givens - maximum temps</t>
  </si>
  <si>
    <t xml:space="preserve">1.4  Derived  ·  cost structure.  Computed, never typed.</t>
  </si>
  <si>
    <t xml:space="preserve">Derived value</t>
  </si>
  <si>
    <t xml:space="preserve">Formula</t>
  </si>
  <si>
    <t xml:space="preserve">Owner field hours</t>
  </si>
  <si>
    <t xml:space="preserve">in_OwnerFieldHrs</t>
  </si>
  <si>
    <t xml:space="preserve">in_OwnerHrsPaid x in_OwnerFieldShare</t>
  </si>
  <si>
    <t xml:space="preserve">Owner rate</t>
  </si>
  <si>
    <t xml:space="preserve">rate_Owner</t>
  </si>
  <si>
    <t xml:space="preserve">$ / hour</t>
  </si>
  <si>
    <t xml:space="preserve">in_OwnerPay / in_OwnerHrsPaid</t>
  </si>
  <si>
    <t xml:space="preserve">Temp rate</t>
  </si>
  <si>
    <t xml:space="preserve">rate_Temp</t>
  </si>
  <si>
    <t xml:space="preserve">in_TempPay / in_TempHrsEach</t>
  </si>
  <si>
    <t xml:space="preserve">Temp hours capacity</t>
  </si>
  <si>
    <t xml:space="preserve">cap_TempHours</t>
  </si>
  <si>
    <t xml:space="preserve">in_TempMax x in_TempHrsEach</t>
  </si>
  <si>
    <t xml:space="preserve">Cost structure  ·  three layers</t>
  </si>
  <si>
    <t xml:space="preserve">Layer</t>
  </si>
  <si>
    <t xml:space="preserve">Behaviour</t>
  </si>
  <si>
    <t xml:space="preserve">Named total</t>
  </si>
  <si>
    <t xml:space="preserve">Fixed</t>
  </si>
  <si>
    <t xml:space="preserve">$20,000, constant in every mix</t>
  </si>
  <si>
    <t xml:space="preserve">calc_FixedCost</t>
  </si>
  <si>
    <t xml:space="preserve">Variable per bed</t>
  </si>
  <si>
    <t xml:space="preserve">Fertilizer, linear in beds</t>
  </si>
  <si>
    <t xml:space="preserve">calc_FertCost</t>
  </si>
  <si>
    <t xml:space="preserve">Variable per hour, two-tier</t>
  </si>
  <si>
    <t xml:space="preserve">Field labour. Hours compound in q; first 720 hours at rate_Owner, every hour beyond at rate_Temp</t>
  </si>
  <si>
    <t xml:space="preserve">calc_LaborCost</t>
  </si>
  <si>
    <t xml:space="preserve">Only the two-tier layer creates rising marginal cost. Fertilizer is flat per bed and fixed cost is constant, so the optimal mix is invariant to in_FixedCost - it moves the profit level, not the decision.</t>
  </si>
  <si>
    <t xml:space="preserve">1.5  Entry rules  ·  three traps that each break the check figure</t>
  </si>
  <si>
    <t xml:space="preserve">1.  Carrot and mesclun hours are entered as expressions. Typing 0.833 instead of = in_HrsWkBed_Tom / 3 moves profit by +$6.83.</t>
  </si>
  <si>
    <t xml:space="preserve">2.  Wage rates are derived, never typed. Typing $34.72 and $17.36 moves profit by +$6.67.</t>
  </si>
  <si>
    <t xml:space="preserve">3.  Nothing is rounded on entry. Rounding is a display format only.</t>
  </si>
  <si>
    <t xml:space="preserve">Each produces a plausible answer near $42,762, so check C7.5 tests the inputs directly rather than trusting the total.</t>
  </si>
  <si>
    <t xml:space="preserve">MARGINAL-COST SCHEDULES</t>
  </si>
  <si>
    <t xml:space="preserve">2_Schedules  ·  bed by bed, each crop planted alone  ·  the sheet the answer is read off</t>
  </si>
  <si>
    <t xml:space="preserve">Walk each crop's MC column until it passes that crop's revenue, then stop there or at the bed cap. The tomato MC column steps DOWN between beds 5 and 6, where the owner's 720 hours run out and the cheaper temp rate takes over.</t>
  </si>
  <si>
    <t xml:space="preserve">Tomatoes</t>
  </si>
  <si>
    <t xml:space="preserve">Carrots</t>
  </si>
  <si>
    <t xml:space="preserve">Mesclun</t>
  </si>
  <si>
    <t xml:space="preserve">Beds (q)</t>
  </si>
  <si>
    <t xml:space="preserve">Cum hours</t>
  </si>
  <si>
    <t xml:space="preserve">Marginal hours</t>
  </si>
  <si>
    <t xml:space="preserve">Cum cost</t>
  </si>
  <si>
    <t xml:space="preserve">Marginal cost</t>
  </si>
  <si>
    <t xml:space="preserve">P vs MC</t>
  </si>
  <si>
    <t xml:space="preserve">OPTIMIZATION</t>
  </si>
  <si>
    <t xml:space="preserve">3_Optimize  ·  Regions A-E  ·  decisions, objective, constraints, Solver setup, P = MC</t>
  </si>
  <si>
    <t xml:space="preserve">REGION A  ·  DECISIONS  -  Solver changes these three cells, and nothing else</t>
  </si>
  <si>
    <t xml:space="preserve">Decision</t>
  </si>
  <si>
    <t xml:space="preserve">Beds</t>
  </si>
  <si>
    <t xml:space="preserve">Bound</t>
  </si>
  <si>
    <t xml:space="preserve">Tomato beds</t>
  </si>
  <si>
    <t xml:space="preserve">dec_Beds_Tom</t>
  </si>
  <si>
    <t xml:space="preserve">integer, 0 .. in_BedCap_Tom</t>
  </si>
  <si>
    <t xml:space="preserve">Carrot beds</t>
  </si>
  <si>
    <t xml:space="preserve">dec_Beds_Car</t>
  </si>
  <si>
    <t xml:space="preserve">integer, 0 .. in_BedCap_Car</t>
  </si>
  <si>
    <t xml:space="preserve">Mesclun beds</t>
  </si>
  <si>
    <t xml:space="preserve">dec_Beds_Mes</t>
  </si>
  <si>
    <t xml:space="preserve">integer, 0 .. in_BedCap_Mes</t>
  </si>
  <si>
    <t xml:space="preserve">Decision cells are inputs: Solver writes them. They are shipped holding the optimal mix so every check on 5_Checks computes live. To re-derive from scratch, set all three to 0 and run Solver with the Region D parameters.</t>
  </si>
  <si>
    <t xml:space="preserve">REGION B  ·  OBJECTIVE  -  maximize</t>
  </si>
  <si>
    <t xml:space="preserve">Measure</t>
  </si>
  <si>
    <t xml:space="preserve">SEASON PROFIT</t>
  </si>
  <si>
    <t xml:space="preserve">calc_Profit</t>
  </si>
  <si>
    <t xml:space="preserve">Profit build</t>
  </si>
  <si>
    <t xml:space="preserve">Revenue</t>
  </si>
  <si>
    <t xml:space="preserve">calc_Revenue</t>
  </si>
  <si>
    <t xml:space="preserve">$</t>
  </si>
  <si>
    <t xml:space="preserve">less  field labour</t>
  </si>
  <si>
    <t xml:space="preserve">less  fertilizer</t>
  </si>
  <si>
    <t xml:space="preserve">less  fixed cost</t>
  </si>
  <si>
    <t xml:space="preserve">Total cost</t>
  </si>
  <si>
    <t xml:space="preserve">calc_TotalCost</t>
  </si>
  <si>
    <t xml:space="preserve">Labour and capacity</t>
  </si>
  <si>
    <t xml:space="preserve">Hours - tomatoes</t>
  </si>
  <si>
    <t xml:space="preserve">calc_Hours_Tom</t>
  </si>
  <si>
    <t xml:space="preserve">Hours - carrots</t>
  </si>
  <si>
    <t xml:space="preserve">calc_Hours_Car</t>
  </si>
  <si>
    <t xml:space="preserve">Hours - mesclun</t>
  </si>
  <si>
    <t xml:space="preserve">calc_Hours_Mes</t>
  </si>
  <si>
    <t xml:space="preserve">Total field hours</t>
  </si>
  <si>
    <t xml:space="preserve">calc_HoursTotal</t>
  </si>
  <si>
    <t xml:space="preserve">Owner hours used</t>
  </si>
  <si>
    <t xml:space="preserve">calc_OwnerHoursUsed</t>
  </si>
  <si>
    <t xml:space="preserve">Temp hours used</t>
  </si>
  <si>
    <t xml:space="preserve">calc_TempHoursUsed</t>
  </si>
  <si>
    <t xml:space="preserve">Temp workers implied</t>
  </si>
  <si>
    <t xml:space="preserve">calc_TempWorkers</t>
  </si>
  <si>
    <t xml:space="preserve">Beds used</t>
  </si>
  <si>
    <t xml:space="preserve">calc_BedsUsed</t>
  </si>
  <si>
    <t xml:space="preserve">REGION C  ·  CONSTRAINT PANEL</t>
  </si>
  <si>
    <t xml:space="preserve">Constraint</t>
  </si>
  <si>
    <t xml:space="preserve">Used</t>
  </si>
  <si>
    <t xml:space="preserve">Limit</t>
  </si>
  <si>
    <t xml:space="preserve">Slack</t>
  </si>
  <si>
    <t xml:space="preserve">Status</t>
  </si>
  <si>
    <t xml:space="preserve">Total beds</t>
  </si>
  <si>
    <t xml:space="preserve">Temp hours</t>
  </si>
  <si>
    <t xml:space="preserve">Temp workers</t>
  </si>
  <si>
    <t xml:space="preserve">REGION D  ·  SOLVER PARAMETERS  -  reproduce this in Data &gt; Solver</t>
  </si>
  <si>
    <t xml:space="preserve">Solver field</t>
  </si>
  <si>
    <t xml:space="preserve">Entry</t>
  </si>
  <si>
    <t xml:space="preserve">Set Objective</t>
  </si>
  <si>
    <t xml:space="preserve">To</t>
  </si>
  <si>
    <t xml:space="preserve">Max</t>
  </si>
  <si>
    <t xml:space="preserve">By Changing Variable Cells</t>
  </si>
  <si>
    <t xml:space="preserve">dec_Beds_Tom, dec_Beds_Car, dec_Beds_Mes</t>
  </si>
  <si>
    <t xml:space="preserve">Subject to the Constraints</t>
  </si>
  <si>
    <t xml:space="preserve">dec_Beds_Tom &lt;= in_BedCap_Tom</t>
  </si>
  <si>
    <t xml:space="preserve">dec_Beds_Car &lt;= in_BedCap_Car</t>
  </si>
  <si>
    <t xml:space="preserve">dec_Beds_Mes &lt;= in_BedCap_Mes</t>
  </si>
  <si>
    <t xml:space="preserve">calc_BedsUsed &lt;= in_BedsTotal</t>
  </si>
  <si>
    <t xml:space="preserve">calc_TempHoursUsed &lt;= cap_TempHours</t>
  </si>
  <si>
    <t xml:space="preserve">dec_Beds_Tom, dec_Beds_Car, dec_Beds_Mes = integer</t>
  </si>
  <si>
    <t xml:space="preserve">Make Unconstrained Variables Non-Negative</t>
  </si>
  <si>
    <t xml:space="preserve">checked</t>
  </si>
  <si>
    <t xml:space="preserve">Solving Method</t>
  </si>
  <si>
    <t xml:space="preserve">Evolutionary  (or GRG Nonlinear with Multistart)</t>
  </si>
  <si>
    <t xml:space="preserve">Convergence</t>
  </si>
  <si>
    <t xml:space="preserve">0.0001</t>
  </si>
  <si>
    <t xml:space="preserve">Mutation Rate / Population Size</t>
  </si>
  <si>
    <t xml:space="preserve">0.075 / 100</t>
  </si>
  <si>
    <t xml:space="preserve">Max Time without Improvement</t>
  </si>
  <si>
    <t xml:space="preserve">60 seconds</t>
  </si>
  <si>
    <t xml:space="preserve">Simplex LP is NOT valid: the objective contains (1 + dim)^q, so this is a non-linear integer program. Simplex will refuse the model or return a clean-looking wrong answer.</t>
  </si>
  <si>
    <t xml:space="preserve">Solver is an Excel add-in and cannot be scripted into this file. The parameters above are the model; run them once in Excel and record the result below.</t>
  </si>
  <si>
    <t xml:space="preserve">Run record</t>
  </si>
  <si>
    <t xml:space="preserve">Engine used</t>
  </si>
  <si>
    <t xml:space="preserve">Starting values</t>
  </si>
  <si>
    <t xml:space="preserve">Resulting profit</t>
  </si>
  <si>
    <t xml:space="preserve">Fill in after running Solver</t>
  </si>
  <si>
    <t xml:space="preserve">REGION E  ·  P = MC READOUT  -  incremental cost at the chosen mix</t>
  </si>
  <si>
    <t xml:space="preserve">Crop</t>
  </si>
  <si>
    <t xml:space="preserve">Last bed planted</t>
  </si>
  <si>
    <t xml:space="preserve">Next bed</t>
  </si>
  <si>
    <t xml:space="preserve">Revenue / bed</t>
  </si>
  <si>
    <t xml:space="preserve">Stop reason</t>
  </si>
  <si>
    <t xml:space="preserve">hrs if -1</t>
  </si>
  <si>
    <t xml:space="preserve">labour if -1</t>
  </si>
  <si>
    <t xml:space="preserve">hrs if +1</t>
  </si>
  <si>
    <t xml:space="preserve">labour if +1</t>
  </si>
  <si>
    <t xml:space="preserve">RESULTS</t>
  </si>
  <si>
    <t xml:space="preserve">4_Results  -  reporting only  -  no calculation originates on this sheet</t>
  </si>
  <si>
    <t xml:space="preserve">Every cell here links to 3_Optimize or 2_Schedules (green). The expected column states the acceptance value from spec section 6; it is not an input to anything.</t>
  </si>
  <si>
    <t xml:space="preserve">Optimal planting mix and season economics</t>
  </si>
  <si>
    <t xml:space="preserve">q</t>
  </si>
  <si>
    <t xml:space="preserve">MC tomato</t>
  </si>
  <si>
    <t xml:space="preserve">MC carrot</t>
  </si>
  <si>
    <t xml:space="preserve">MC mesclun</t>
  </si>
  <si>
    <t xml:space="preserve">Rev tomato</t>
  </si>
  <si>
    <t xml:space="preserve">Rev carrot</t>
  </si>
  <si>
    <t xml:space="preserve">Rev mesclun</t>
  </si>
  <si>
    <t xml:space="preserve">Output</t>
  </si>
  <si>
    <t xml:space="preserve">Expected at optimum</t>
  </si>
  <si>
    <t xml:space="preserve">Optimal tomato beds</t>
  </si>
  <si>
    <t xml:space="preserve">out_Beds_Tom</t>
  </si>
  <si>
    <t xml:space="preserve">10</t>
  </si>
  <si>
    <t xml:space="preserve">Optimal carrot beds</t>
  </si>
  <si>
    <t xml:space="preserve">out_Beds_Car</t>
  </si>
  <si>
    <t xml:space="preserve">20</t>
  </si>
  <si>
    <t xml:space="preserve">Optimal mesclun beds</t>
  </si>
  <si>
    <t xml:space="preserve">out_Beds_Mes</t>
  </si>
  <si>
    <t xml:space="preserve">30</t>
  </si>
  <si>
    <t xml:space="preserve">Total beds planted</t>
  </si>
  <si>
    <t xml:space="preserve">out_BedsUsed</t>
  </si>
  <si>
    <t xml:space="preserve">beds, of 64</t>
  </si>
  <si>
    <t xml:space="preserve">60</t>
  </si>
  <si>
    <t xml:space="preserve">MAXIMUM SEASON PROFIT</t>
  </si>
  <si>
    <t xml:space="preserve">out_Profit</t>
  </si>
  <si>
    <t xml:space="preserve">$42,761.66</t>
  </si>
  <si>
    <t xml:space="preserve">Total season revenue</t>
  </si>
  <si>
    <t xml:space="preserve">out_Revenue</t>
  </si>
  <si>
    <t xml:space="preserve">$210,880.00</t>
  </si>
  <si>
    <t xml:space="preserve">Total field labour cost</t>
  </si>
  <si>
    <t xml:space="preserve">out_LaborCost</t>
  </si>
  <si>
    <t xml:space="preserve">$104,118.34</t>
  </si>
  <si>
    <t xml:space="preserve">Total fertilizer cost</t>
  </si>
  <si>
    <t xml:space="preserve">out_FertCost</t>
  </si>
  <si>
    <t xml:space="preserve">$44,000.00</t>
  </si>
  <si>
    <t xml:space="preserve">Fixed cost</t>
  </si>
  <si>
    <t xml:space="preserve">out_FixedCost</t>
  </si>
  <si>
    <t xml:space="preserve">$20,000.00</t>
  </si>
  <si>
    <t xml:space="preserve">out_TotalCost</t>
  </si>
  <si>
    <t xml:space="preserve">$168,118.34</t>
  </si>
  <si>
    <t xml:space="preserve">Total field hours required</t>
  </si>
  <si>
    <t xml:space="preserve">out_HoursTotal</t>
  </si>
  <si>
    <t xml:space="preserve">5,277.216</t>
  </si>
  <si>
    <t xml:space="preserve">Hours at owner rate</t>
  </si>
  <si>
    <t xml:space="preserve">out_OwnerHours</t>
  </si>
  <si>
    <t xml:space="preserve">720.000</t>
  </si>
  <si>
    <t xml:space="preserve">Hours at temp rate</t>
  </si>
  <si>
    <t xml:space="preserve">out_TempHours</t>
  </si>
  <si>
    <t xml:space="preserve">4,557.216</t>
  </si>
  <si>
    <t xml:space="preserve">out_TempWorkers</t>
  </si>
  <si>
    <t xml:space="preserve">workers, of 4</t>
  </si>
  <si>
    <t xml:space="preserve">3.165</t>
  </si>
  <si>
    <t xml:space="preserve">Marginal economics at the optimum  -  why each crop stops where it does</t>
  </si>
  <si>
    <t xml:space="preserve">Binding constraints</t>
  </si>
  <si>
    <t xml:space="preserve">Validation checks passed</t>
  </si>
  <si>
    <t xml:space="preserve">Solid lines are marginal cost; dashed lines are revenue per bed. Tomato MC crosses $8,800 between beds 10 and 11 - the economic stop. It also steps DOWN between beds 5 and 6, where the owner's 720 hours run out. Carrot and mesclun MC never reach their revenue lines inside their caps, which is why those two stop on capacity rather than economics.</t>
  </si>
  <si>
    <t xml:space="preserve">VALIDATION</t>
  </si>
  <si>
    <t xml:space="preserve">5_Checks  -  spec section 5  -  the workbook is not finished until every row passes</t>
  </si>
  <si>
    <t xml:space="preserve">Actual columns are formulas reading the live model. Expected columns are the acceptance criteria from spec section 5 (blue = stated target, not a model input). Two rows are marked AUDIT: they are structural properties a formula cannot test, and are confirmed by inspection.</t>
  </si>
  <si>
    <t xml:space="preserve">C1  -  The published answer</t>
  </si>
  <si>
    <t xml:space="preserve">ID</t>
  </si>
  <si>
    <t xml:space="preserve">Test</t>
  </si>
  <si>
    <t xml:space="preserve">Actual</t>
  </si>
  <si>
    <t xml:space="preserve">Expected</t>
  </si>
  <si>
    <t xml:space="preserve">Tolerance</t>
  </si>
  <si>
    <t xml:space="preserve">Result</t>
  </si>
  <si>
    <t xml:space="preserve">C1.1</t>
  </si>
  <si>
    <t xml:space="preserve">Season profit at the published mix, rounded to the dollar, equals the published $42,762</t>
  </si>
  <si>
    <t xml:space="preserve">C1.2</t>
  </si>
  <si>
    <t xml:space="preserve">The mix in Region A is the published optimum 10 / 20 / 30 (Solver run recorded in Region D)</t>
  </si>
  <si>
    <t xml:space="preserve">10 / 20 / 30</t>
  </si>
  <si>
    <t xml:space="preserve">C1.3</t>
  </si>
  <si>
    <t xml:space="preserve">No feasible plus-or-minus-one-bed neighbour of the mix scores higher (table below)</t>
  </si>
  <si>
    <t xml:space="preserve">C2  -  Profit decomposition at the published mix</t>
  </si>
  <si>
    <t xml:space="preserve">C2.1</t>
  </si>
  <si>
    <t xml:space="preserve">C2.2</t>
  </si>
  <si>
    <t xml:space="preserve">Fertilizer cost</t>
  </si>
  <si>
    <t xml:space="preserve">C2.3</t>
  </si>
  <si>
    <t xml:space="preserve">Field labour cost</t>
  </si>
  <si>
    <t xml:space="preserve">C2.4</t>
  </si>
  <si>
    <t xml:space="preserve">C2.5</t>
  </si>
  <si>
    <t xml:space="preserve">Total cost - labour plus fertilizer plus fixed</t>
  </si>
  <si>
    <t xml:space="preserve">C2.6</t>
  </si>
  <si>
    <t xml:space="preserve">Owner tier cost - 720 hours at rate_Owner, exactly half of owner pay</t>
  </si>
  <si>
    <t xml:space="preserve">C2.7</t>
  </si>
  <si>
    <t xml:space="preserve">Temp tier cost - 4,557.216 hours at rate_Temp</t>
  </si>
  <si>
    <t xml:space="preserve">C3  -  The labor formula  -  spot checks against the worked example</t>
  </si>
  <si>
    <t xml:space="preserve">C3.1</t>
  </si>
  <si>
    <t xml:space="preserve">Tomato bed 1, cumulative hours</t>
  </si>
  <si>
    <t xml:space="preserve">C3.2</t>
  </si>
  <si>
    <t xml:space="preserve">Tomato bed 2, cumulative hours</t>
  </si>
  <si>
    <t xml:space="preserve">C3.3</t>
  </si>
  <si>
    <t xml:space="preserve">Tomato bed 2, marginal hours</t>
  </si>
  <si>
    <t xml:space="preserve">C3.4</t>
  </si>
  <si>
    <t xml:space="preserve">Tomato bed 3, cumulative hours</t>
  </si>
  <si>
    <t xml:space="preserve">C3.5</t>
  </si>
  <si>
    <t xml:space="preserve">Tomato bed 3, marginal hours</t>
  </si>
  <si>
    <t xml:space="preserve">C3.6</t>
  </si>
  <si>
    <t xml:space="preserve">Tomato bed 10, cumulative hours</t>
  </si>
  <si>
    <t xml:space="preserve">C3.7</t>
  </si>
  <si>
    <t xml:space="preserve">Tomato bed 10, marginal hours</t>
  </si>
  <si>
    <t xml:space="preserve">C3.8</t>
  </si>
  <si>
    <t xml:space="preserve">Tomato bed 11, cumulative hours</t>
  </si>
  <si>
    <t xml:space="preserve">C3.9</t>
  </si>
  <si>
    <t xml:space="preserve">Tomato bed 11, marginal hours</t>
  </si>
  <si>
    <t xml:space="preserve">C3.10</t>
  </si>
  <si>
    <t xml:space="preserve">Carrot bed 20, cumulative hours</t>
  </si>
  <si>
    <t xml:space="preserve">C3.11</t>
  </si>
  <si>
    <t xml:space="preserve">Mesclun bed 30, cumulative hours</t>
  </si>
  <si>
    <t xml:space="preserve">C3.12</t>
  </si>
  <si>
    <t xml:space="preserve">Total field hours at the optimum</t>
  </si>
  <si>
    <t xml:space="preserve">C4  -  The rate break  -  the one permitted decrease in each MC series</t>
  </si>
  <si>
    <t xml:space="preserve">C4.1</t>
  </si>
  <si>
    <t xml:space="preserve">Tomato crossing bed - first bed whose cumulative hours exceed the owner's 720</t>
  </si>
  <si>
    <t xml:space="preserve">C4.2</t>
  </si>
  <si>
    <t xml:space="preserve">Carrot crossing bed</t>
  </si>
  <si>
    <t xml:space="preserve">C4.3</t>
  </si>
  <si>
    <t xml:space="preserve">Mesclun crossing bed</t>
  </si>
  <si>
    <t xml:space="preserve">C4.4</t>
  </si>
  <si>
    <t xml:space="preserve">Tomato MC at bed 5 - the peak before the owner pool runs out</t>
  </si>
  <si>
    <t xml:space="preserve">C4.5</t>
  </si>
  <si>
    <t xml:space="preserve">Tomato MC at bed 6 - drops as the cheaper temp rate takes over</t>
  </si>
  <si>
    <t xml:space="preserve">C4.6</t>
  </si>
  <si>
    <t xml:space="preserve">Tomato MC strictly increasing outside the crossover: decreases at any bed other than the crossing bed or the one after it</t>
  </si>
  <si>
    <t xml:space="preserve">C4.7</t>
  </si>
  <si>
    <t xml:space="preserve">Carrot MC strictly increasing outside the crossover: decreases at any bed other than the crossing bed or the one after it</t>
  </si>
  <si>
    <t xml:space="preserve">C4.8</t>
  </si>
  <si>
    <t xml:space="preserve">Mesclun MC strictly increasing outside the crossover: decreases at any bed other than the crossing bed or the one after it</t>
  </si>
  <si>
    <t xml:space="preserve">C5  -  Which constraints bind, and why</t>
  </si>
  <si>
    <t xml:space="preserve">C5.1</t>
  </si>
  <si>
    <t xml:space="preserve">Tomatoes stop on economics: interior, with last bed below revenue and next bed above</t>
  </si>
  <si>
    <t xml:space="preserve">TRUE</t>
  </si>
  <si>
    <t xml:space="preserve">C5.2</t>
  </si>
  <si>
    <t xml:space="preserve">Carrots stop on capacity: at the cap, with the next bed still below revenue</t>
  </si>
  <si>
    <t xml:space="preserve">C5.3</t>
  </si>
  <si>
    <t xml:space="preserve">Mesclun stops on capacity: at the cap, with the next bed still below revenue</t>
  </si>
  <si>
    <t xml:space="preserve">C5.4</t>
  </si>
  <si>
    <t xml:space="preserve">Total beds used is 60 of 64 - slack, not driven to the cap</t>
  </si>
  <si>
    <t xml:space="preserve">C5.5</t>
  </si>
  <si>
    <t xml:space="preserve">Temp hours slack against the 5,760-hour cap</t>
  </si>
  <si>
    <t xml:space="preserve">C5.6</t>
  </si>
  <si>
    <t xml:space="preserve">Owner field hours are the binding resource - pool exactly exhausted</t>
  </si>
  <si>
    <t xml:space="preserve">C6  -  The q = 1 hand calculation  -  tomatoes, one bed, nothing else planted</t>
  </si>
  <si>
    <t xml:space="preserve">C6.1</t>
  </si>
  <si>
    <t xml:space="preserve">hours(1) = 1 x 2.5 x 36 x 1.10</t>
  </si>
  <si>
    <t xml:space="preserve">C6.2</t>
  </si>
  <si>
    <t xml:space="preserve">Marginal cost of bed 1 = 99 x 50,000 / 1,440 + 880 = $3,437.50 + $880.00</t>
  </si>
  <si>
    <t xml:space="preserve">C6.3</t>
  </si>
  <si>
    <t xml:space="preserve">Profit at 1 / 0 / 0 = revenue less bed-1 cost less fixed cost. Negative is correct: one bed cannot carry $20,000 of fixed cost</t>
  </si>
  <si>
    <t xml:space="preserve">C7  -  Workbook hygiene</t>
  </si>
  <si>
    <t xml:space="preserve">C7.1a</t>
  </si>
  <si>
    <t xml:space="preserve">No error cells on 1_Inputs - division, value, reference, not-available, number and null errors all counted</t>
  </si>
  <si>
    <t xml:space="preserve">C7.1b</t>
  </si>
  <si>
    <t xml:space="preserve">No error cells on 2_Schedules - division, value, reference, not-available, number and null errors all counted</t>
  </si>
  <si>
    <t xml:space="preserve">C7.1c</t>
  </si>
  <si>
    <t xml:space="preserve">No error cells on 3_Optimize - division, value, reference, not-available, number and null errors all counted</t>
  </si>
  <si>
    <t xml:space="preserve">C7.1d</t>
  </si>
  <si>
    <t xml:space="preserve">No error cells on 4_Results - division, value, reference, not-available, number and null errors all counted</t>
  </si>
  <si>
    <t xml:space="preserve">C7.1e</t>
  </si>
  <si>
    <t xml:space="preserve">No error in the binding-constraints readout on 4_Results, which sits outside the scanned block above</t>
  </si>
  <si>
    <t xml:space="preserve">C7.2</t>
  </si>
  <si>
    <t xml:space="preserve">All three schedule blocks fully populated: 4 numeric columns x (20 + 20 + 30) beds = 280 computed cells</t>
  </si>
  <si>
    <t xml:space="preserve">C7.3</t>
  </si>
  <si>
    <t xml:space="preserve">Fixed cost is purely additive, so it moves the profit level and not the mix: profit + fixed cost = contribution before fixed cost</t>
  </si>
  <si>
    <t xml:space="preserve">C7.4</t>
  </si>
  <si>
    <t xml:space="preserve">Standalone and mix-context marginal cost agree at this optimum - tomatoes</t>
  </si>
  <si>
    <t xml:space="preserve">C7.5</t>
  </si>
  <si>
    <t xml:space="preserve">Standalone and mix-context marginal cost agree at this optimum - carrots</t>
  </si>
  <si>
    <t xml:space="preserve">C7.6</t>
  </si>
  <si>
    <t xml:space="preserve">Standalone and mix-context marginal cost agree at this optimum - mesclun</t>
  </si>
  <si>
    <t xml:space="preserve">C7.7</t>
  </si>
  <si>
    <t xml:space="preserve">Carrot hours entered unrounded: in_HrsWkBed_Car x 3 equals in_HrsWkBed_Tom exactly</t>
  </si>
  <si>
    <t xml:space="preserve">C7.8</t>
  </si>
  <si>
    <t xml:space="preserve">Mesclun hours entered unrounded: in_HrsWkBed_Mes x 2 equals in_HrsWkBed_Tom exactly</t>
  </si>
  <si>
    <t xml:space="preserve">C7.9</t>
  </si>
  <si>
    <t xml:space="preserve">Owner rate derived, not typed: rate_Owner x in_OwnerHrsPaid equals in_OwnerPay exactly</t>
  </si>
  <si>
    <t xml:space="preserve">C7.10</t>
  </si>
  <si>
    <t xml:space="preserve">Temp rate derived, not typed: rate_Temp x in_TempHrsEach equals in_TempPay exactly</t>
  </si>
  <si>
    <t xml:space="preserve">C7.11</t>
  </si>
  <si>
    <t xml:space="preserve">Bed decisions are whole numbers</t>
  </si>
  <si>
    <t xml:space="preserve">C7.12</t>
  </si>
  <si>
    <t xml:space="preserve">No hardcoded numbers in formulas outside 1_Inputs, other than 0, 1 or a row index</t>
  </si>
  <si>
    <t xml:space="preserve">C7.13</t>
  </si>
  <si>
    <t xml:space="preserve">No cell addresses in the named logic on 3_Optimize and 4_Results</t>
  </si>
  <si>
    <t xml:space="preserve">C7.14</t>
  </si>
  <si>
    <t xml:space="preserve">Every calculated cell holds a formula, never a pasted value. ISFORMULA is not available in the engine used to verify this file, so it is confirmed by inspection - see the note below for the live Excel test</t>
  </si>
  <si>
    <t xml:space="preserve">Live Excel test for C7.14 - paste into any spare cell; it must return 0:   =SUMPRODUCT(--NOT(ISFORMULA('2_Schedules'!$C$7:$F$26)))+SUMPRODUCT(--NOT(ISFORMULA('2_Schedules'!$J$7:$M$26)))+SUMPRODUCT(--NOT(ISFORMULA('2_Schedules'!$Q$7:$T$36)))</t>
  </si>
  <si>
    <t xml:space="preserve">Summary</t>
  </si>
  <si>
    <t xml:space="preserve">Checks passed</t>
  </si>
  <si>
    <t xml:space="preserve">C1.3 support  -  plus-or-minus-one-bed neighbours of the mix</t>
  </si>
  <si>
    <t xml:space="preserve">Neighbour</t>
  </si>
  <si>
    <t xml:space="preserve">Tom</t>
  </si>
  <si>
    <t xml:space="preserve">Car</t>
  </si>
  <si>
    <t xml:space="preserve">Mes</t>
  </si>
  <si>
    <t xml:space="preserve">Hrs Tom</t>
  </si>
  <si>
    <t xml:space="preserve">Hrs Car</t>
  </si>
  <si>
    <t xml:space="preserve">Hrs Mes</t>
  </si>
  <si>
    <t xml:space="preserve">Hrs total</t>
  </si>
  <si>
    <t xml:space="preserve">Labour</t>
  </si>
  <si>
    <t xml:space="preserve">Fertilizer</t>
  </si>
  <si>
    <t xml:space="preserve">Profit</t>
  </si>
  <si>
    <t xml:space="preserve">Feasible</t>
  </si>
  <si>
    <t xml:space="preserve">Beats?</t>
  </si>
  <si>
    <t xml:space="preserve">Tomato +1</t>
  </si>
  <si>
    <t xml:space="preserve">Tomato -1</t>
  </si>
  <si>
    <t xml:space="preserve">Carrot +1</t>
  </si>
  <si>
    <t xml:space="preserve">Carrot -1</t>
  </si>
  <si>
    <t xml:space="preserve">Mesclun +1</t>
  </si>
  <si>
    <t xml:space="preserve">Mesclun -1</t>
  </si>
  <si>
    <t xml:space="preserve">A neighbour is only a counter-example if it is feasible. Infeasible neighbours - over a bed cap, over 64 beds, or over the temp-hour cap - cannot beat the optimum however high their profit reads.</t>
  </si>
  <si>
    <t xml:space="preserve">Note on C7.1d: the scan starts at column C, not column B. Column B row 29 of 4_Results reports this sheet's own check tally, so including it in a range that the tally depends on would create a circular reference. It is checked separately by C7.1e.</t>
  </si>
</sst>
</file>

<file path=xl/styles.xml><?xml version="1.0" encoding="utf-8"?>
<styleSheet xmlns="http://schemas.openxmlformats.org/spreadsheetml/2006/main">
  <numFmts count="9">
    <numFmt numFmtId="164" formatCode="General"/>
    <numFmt numFmtId="165" formatCode="#,##0"/>
    <numFmt numFmtId="166" formatCode="\$#,##0;&quot;($&quot;#,##0\);\-"/>
    <numFmt numFmtId="167" formatCode="#,##0.000"/>
    <numFmt numFmtId="168" formatCode="0.00%"/>
    <numFmt numFmtId="169" formatCode="\$#,##0.0000"/>
    <numFmt numFmtId="170" formatCode="\$#,##0.00;&quot;($&quot;#,##0.00\);\-"/>
    <numFmt numFmtId="171" formatCode="0.000"/>
    <numFmt numFmtId="172" formatCode="General"/>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10"/>
      <name val="Arial"/>
      <family val="0"/>
      <charset val="1"/>
    </font>
    <font>
      <sz val="9"/>
      <color rgb="FF404040"/>
      <name val="Consolas"/>
      <family val="0"/>
      <charset val="1"/>
    </font>
    <font>
      <sz val="10"/>
      <color rgb="FF0000FF"/>
      <name val="Arial"/>
      <family val="0"/>
      <charset val="1"/>
    </font>
    <font>
      <sz val="10"/>
      <color rgb="FF000000"/>
      <name val="Arial"/>
      <family val="0"/>
      <charset val="1"/>
    </font>
    <font>
      <b val="true"/>
      <sz val="10"/>
      <name val="Arial"/>
      <family val="0"/>
      <charset val="1"/>
    </font>
    <font>
      <b val="true"/>
      <sz val="11"/>
      <color rgb="FFFFFFFF"/>
      <name val="Arial"/>
      <family val="0"/>
      <charset val="1"/>
    </font>
    <font>
      <b val="true"/>
      <sz val="12"/>
      <name val="Arial"/>
      <family val="0"/>
      <charset val="1"/>
    </font>
    <font>
      <sz val="8"/>
      <color rgb="FF808080"/>
      <name val="Arial"/>
      <family val="0"/>
      <charset val="1"/>
    </font>
    <font>
      <sz val="10"/>
      <color rgb="FF008000"/>
      <name val="Arial"/>
      <family val="0"/>
      <charset val="1"/>
    </font>
    <font>
      <b val="true"/>
      <sz val="12"/>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404040"/>
      </patternFill>
    </fill>
    <fill>
      <patternFill patternType="solid">
        <fgColor rgb="FF2E5C8A"/>
        <bgColor rgb="FF595959"/>
      </patternFill>
    </fill>
    <fill>
      <patternFill patternType="solid">
        <fgColor rgb="FFD9E2F3"/>
        <bgColor rgb="FFD9D9D9"/>
      </patternFill>
    </fill>
    <fill>
      <patternFill patternType="solid">
        <fgColor rgb="FFFFFDE7"/>
        <bgColor rgb="FFFFFFFF"/>
      </patternFill>
    </fill>
    <fill>
      <patternFill patternType="solid">
        <fgColor rgb="FFF2F2F2"/>
        <bgColor rgb="FFFFFDE7"/>
      </patternFill>
    </fill>
    <fill>
      <patternFill patternType="solid">
        <fgColor rgb="FFFFF2CC"/>
        <bgColor rgb="FFFFFDE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1F3864"/>
      </left>
      <right style="medium">
        <color rgb="FF1F3864"/>
      </right>
      <top style="medium">
        <color rgb="FF1F3864"/>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false" indent="1" shrinkToFit="false"/>
      <protection locked="true" hidden="false"/>
    </xf>
    <xf numFmtId="164" fontId="7" fillId="4" borderId="0" xfId="0" applyFont="true" applyBorder="true" applyAlignment="true" applyProtection="false">
      <alignment horizontal="general"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67" fontId="12" fillId="6" borderId="1" xfId="0" applyFont="true" applyBorder="true" applyAlignment="false" applyProtection="false">
      <alignment horizontal="general" vertical="bottom" textRotation="0" wrapText="false" indent="0" shrinkToFit="false"/>
      <protection locked="true" hidden="false"/>
    </xf>
    <xf numFmtId="170" fontId="12" fillId="6"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bottom" textRotation="0" wrapText="false" indent="0" shrinkToFit="false"/>
      <protection locked="true" hidden="false"/>
    </xf>
    <xf numFmtId="170" fontId="15" fillId="7" borderId="2"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70" fontId="18" fillId="7" borderId="2" xfId="0" applyFont="true" applyBorder="true" applyAlignment="false" applyProtection="false">
      <alignment horizontal="general" vertical="bottom" textRotation="0" wrapText="fals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72" fontId="13" fillId="7"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sz val="10"/>
      </font>
      <fill>
        <patternFill>
          <bgColor rgb="FFFFC7CE"/>
        </patternFill>
      </fill>
    </dxf>
    <dxf>
      <font>
        <name val="Arial"/>
        <charset val="1"/>
        <family val="0"/>
        <b val="1"/>
        <color rgb="FF7F6000"/>
        <sz val="10"/>
      </font>
      <fill>
        <patternFill>
          <bgColor rgb="FFFFF2CC"/>
        </patternFill>
      </fill>
    </dxf>
    <dxf>
      <font>
        <name val="Arial"/>
        <charset val="1"/>
        <family val="0"/>
        <b val="1"/>
        <color rgb="FF006100"/>
        <sz val="1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BE4B48"/>
      <rgbColor rgb="FFFFFDE7"/>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F2CC"/>
      <rgbColor rgb="FF99CCFF"/>
      <rgbColor rgb="FFFF99CC"/>
      <rgbColor rgb="FFCC99FF"/>
      <rgbColor rgb="FFFFC7CE"/>
      <rgbColor rgb="FF4A7EBB"/>
      <rgbColor rgb="FF46AAC4"/>
      <rgbColor rgb="FF98B855"/>
      <rgbColor rgb="FFFFCC00"/>
      <rgbColor rgb="FFF59240"/>
      <rgbColor rgb="FFFF6600"/>
      <rgbColor rgb="FF7D5FA0"/>
      <rgbColor rgb="FF878787"/>
      <rgbColor rgb="FF1F3864"/>
      <rgbColor rgb="FF339966"/>
      <rgbColor rgb="FF006100"/>
      <rgbColor rgb="FF333300"/>
      <rgbColor rgb="FF993300"/>
      <rgbColor rgb="FF595959"/>
      <rgbColor rgb="FF2E5C8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Marginal cost by bed, against revenue per bed</a:t>
            </a:r>
          </a:p>
        </c:rich>
      </c:tx>
      <c:overlay val="0"/>
      <c:spPr>
        <a:noFill/>
        <a:ln w="0">
          <a:noFill/>
        </a:ln>
      </c:spPr>
    </c:title>
    <c:autoTitleDeleted val="0"/>
    <c:plotArea>
      <c:lineChart>
        <c:grouping val="standard"/>
        <c:varyColors val="0"/>
        <c:ser>
          <c:idx val="0"/>
          <c:order val="0"/>
          <c:tx>
            <c:strRef>
              <c:f>4_Results!I5</c:f>
              <c:strCache>
                <c:ptCount val="1"/>
                <c:pt idx="0">
                  <c:v>MC tomato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4_Results!$I$6:$I$35</c:f>
              <c:numCache>
                <c:formatCode>\$#,##0;"($"#,##0\);\-</c:formatCode>
                <c:ptCount val="30"/>
                <c:pt idx="0">
                  <c:v>4317.5</c:v>
                </c:pt>
                <c:pt idx="1">
                  <c:v>5005</c:v>
                </c:pt>
                <c:pt idx="2">
                  <c:v>5795.625</c:v>
                </c:pt>
                <c:pt idx="3">
                  <c:v>6703.125</c:v>
                </c:pt>
                <c:pt idx="4">
                  <c:v>7660.859375</c:v>
                </c:pt>
                <c:pt idx="5">
                  <c:v>4906.27500000001</c:v>
                </c:pt>
                <c:pt idx="6">
                  <c:v>5585.70890625</c:v>
                </c:pt>
                <c:pt idx="7">
                  <c:v>6360.76684375001</c:v>
                </c:pt>
                <c:pt idx="8">
                  <c:v>7243.77927968751</c:v>
                </c:pt>
                <c:pt idx="9">
                  <c:v>8248.58653437501</c:v>
                </c:pt>
                <c:pt idx="10">
                  <c:v>9390.71744720313</c:v>
                </c:pt>
                <c:pt idx="11">
                  <c:v>10687.5886772532</c:v>
                </c:pt>
                <c:pt idx="12">
                  <c:v>12158.7269788411</c:v>
                </c:pt>
                <c:pt idx="13">
                  <c:v>13826.0170539742</c:v>
                </c:pt>
                <c:pt idx="14">
                  <c:v>15713.9778743454</c:v>
                </c:pt>
                <c:pt idx="15">
                  <c:v>17850.0706882511</c:v>
                </c:pt>
                <c:pt idx="16">
                  <c:v>20265.0422861946</c:v>
                </c:pt>
                <c:pt idx="17">
                  <c:v>22993.3074968441</c:v>
                </c:pt>
                <c:pt idx="18">
                  <c:v>26073.3753267617</c:v>
                </c:pt>
                <c:pt idx="19">
                  <c:v>29548.3236476944</c:v>
                </c:pt>
              </c:numCache>
            </c:numRef>
          </c:val>
          <c:smooth val="0"/>
        </c:ser>
        <c:ser>
          <c:idx val="1"/>
          <c:order val="1"/>
          <c:tx>
            <c:strRef>
              <c:f>4_Results!J5</c:f>
              <c:strCache>
                <c:ptCount val="1"/>
                <c:pt idx="0">
                  <c:v>MC carrot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4_Results!$J$6:$J$35</c:f>
              <c:numCache>
                <c:formatCode>\$#,##0;"($"#,##0\);\-</c:formatCode>
                <c:ptCount val="30"/>
                <c:pt idx="0">
                  <c:v>1507.70833333333</c:v>
                </c:pt>
                <c:pt idx="1">
                  <c:v>1561.09375</c:v>
                </c:pt>
                <c:pt idx="2">
                  <c:v>1616.48111979167</c:v>
                </c:pt>
                <c:pt idx="3">
                  <c:v>1673.93717447917</c:v>
                </c:pt>
                <c:pt idx="4">
                  <c:v>1733.53073120117</c:v>
                </c:pt>
                <c:pt idx="5">
                  <c:v>1795.33275502523</c:v>
                </c:pt>
                <c:pt idx="6">
                  <c:v>1859.41642333349</c:v>
                </c:pt>
                <c:pt idx="7">
                  <c:v>1925.85719208526</c:v>
                </c:pt>
                <c:pt idx="8">
                  <c:v>1994.73286401005</c:v>
                </c:pt>
                <c:pt idx="9">
                  <c:v>2066.12365878602</c:v>
                </c:pt>
                <c:pt idx="10">
                  <c:v>2140.11228526079</c:v>
                </c:pt>
                <c:pt idx="11">
                  <c:v>2216.78401577254</c:v>
                </c:pt>
                <c:pt idx="12">
                  <c:v>2296.2267626316</c:v>
                </c:pt>
                <c:pt idx="13">
                  <c:v>2378.53115682377</c:v>
                </c:pt>
                <c:pt idx="14">
                  <c:v>2463.79062899888</c:v>
                </c:pt>
                <c:pt idx="15">
                  <c:v>2552.10149280974</c:v>
                </c:pt>
                <c:pt idx="16">
                  <c:v>1670.90134316266</c:v>
                </c:pt>
                <c:pt idx="17">
                  <c:v>1589.13879099311</c:v>
                </c:pt>
                <c:pt idx="18">
                  <c:v>1638.17531698807</c:v>
                </c:pt>
                <c:pt idx="19">
                  <c:v>1688.9454575384</c:v>
                </c:pt>
              </c:numCache>
            </c:numRef>
          </c:val>
          <c:smooth val="0"/>
        </c:ser>
        <c:ser>
          <c:idx val="2"/>
          <c:order val="2"/>
          <c:tx>
            <c:strRef>
              <c:f>4_Results!K5</c:f>
              <c:strCache>
                <c:ptCount val="1"/>
                <c:pt idx="0">
                  <c:v>MC mesclun</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4_Results!$K$6:$K$35</c:f>
              <c:numCache>
                <c:formatCode>\$#,##0;"($"#,##0\);\-</c:formatCode>
                <c:ptCount val="30"/>
                <c:pt idx="0">
                  <c:v>2462.03125</c:v>
                </c:pt>
                <c:pt idx="1">
                  <c:v>2501.58203125</c:v>
                </c:pt>
                <c:pt idx="2">
                  <c:v>2541.87438964844</c:v>
                </c:pt>
                <c:pt idx="3">
                  <c:v>2582.92068481445</c:v>
                </c:pt>
                <c:pt idx="4">
                  <c:v>2624.73346948624</c:v>
                </c:pt>
                <c:pt idx="5">
                  <c:v>2667.32549241781</c:v>
                </c:pt>
                <c:pt idx="6">
                  <c:v>2710.70970131807</c:v>
                </c:pt>
                <c:pt idx="7">
                  <c:v>2754.89924583264</c:v>
                </c:pt>
                <c:pt idx="8">
                  <c:v>2799.90748056925</c:v>
                </c:pt>
                <c:pt idx="9">
                  <c:v>2845.74796816711</c:v>
                </c:pt>
                <c:pt idx="10">
                  <c:v>2892.43448241108</c:v>
                </c:pt>
                <c:pt idx="11">
                  <c:v>2939.98101139112</c:v>
                </c:pt>
                <c:pt idx="12">
                  <c:v>2988.40176070779</c:v>
                </c:pt>
                <c:pt idx="13">
                  <c:v>2522.58109435517</c:v>
                </c:pt>
                <c:pt idx="14">
                  <c:v>1983.96192493309</c:v>
                </c:pt>
                <c:pt idx="15">
                  <c:v>2009.52735898419</c:v>
                </c:pt>
                <c:pt idx="16">
                  <c:v>2035.55943483576</c:v>
                </c:pt>
                <c:pt idx="17">
                  <c:v>2062.06582393381</c:v>
                </c:pt>
                <c:pt idx="18">
                  <c:v>2089.05431659761</c:v>
                </c:pt>
                <c:pt idx="19">
                  <c:v>2116.532823793</c:v>
                </c:pt>
                <c:pt idx="20">
                  <c:v>2144.50937893132</c:v>
                </c:pt>
                <c:pt idx="21">
                  <c:v>2172.99213969438</c:v>
                </c:pt>
                <c:pt idx="22">
                  <c:v>2201.98938988605</c:v>
                </c:pt>
                <c:pt idx="23">
                  <c:v>2231.50954131069</c:v>
                </c:pt>
                <c:pt idx="24">
                  <c:v>2261.56113567878</c:v>
                </c:pt>
                <c:pt idx="25">
                  <c:v>2292.15284654023</c:v>
                </c:pt>
                <c:pt idx="26">
                  <c:v>2323.29348124578</c:v>
                </c:pt>
                <c:pt idx="27">
                  <c:v>2354.9919829367</c:v>
                </c:pt>
                <c:pt idx="28">
                  <c:v>2387.25743256342</c:v>
                </c:pt>
                <c:pt idx="29">
                  <c:v>2420.09905093351</c:v>
                </c:pt>
              </c:numCache>
            </c:numRef>
          </c:val>
          <c:smooth val="0"/>
        </c:ser>
        <c:ser>
          <c:idx val="3"/>
          <c:order val="3"/>
          <c:tx>
            <c:strRef>
              <c:f>4_Results!L5</c:f>
              <c:strCache>
                <c:ptCount val="1"/>
                <c:pt idx="0">
                  <c:v>Rev tomato</c:v>
                </c:pt>
              </c:strCache>
            </c:strRef>
          </c:tx>
          <c:spPr>
            <a:solidFill>
              <a:srgbClr val="7d5fa0"/>
            </a:solidFill>
            <a:ln w="28440">
              <a:solidFill>
                <a:srgbClr val="7d5fa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4_Results!$L$6:$L$35</c:f>
              <c:numCache>
                <c:formatCode>\$#,##0;"($"#,##0\);\-</c:formatCode>
                <c:ptCount val="30"/>
                <c:pt idx="0">
                  <c:v>8800</c:v>
                </c:pt>
                <c:pt idx="1">
                  <c:v>8800</c:v>
                </c:pt>
                <c:pt idx="2">
                  <c:v>8800</c:v>
                </c:pt>
                <c:pt idx="3">
                  <c:v>8800</c:v>
                </c:pt>
                <c:pt idx="4">
                  <c:v>8800</c:v>
                </c:pt>
                <c:pt idx="5">
                  <c:v>8800</c:v>
                </c:pt>
                <c:pt idx="6">
                  <c:v>8800</c:v>
                </c:pt>
                <c:pt idx="7">
                  <c:v>8800</c:v>
                </c:pt>
                <c:pt idx="8">
                  <c:v>8800</c:v>
                </c:pt>
                <c:pt idx="9">
                  <c:v>8800</c:v>
                </c:pt>
                <c:pt idx="10">
                  <c:v>8800</c:v>
                </c:pt>
                <c:pt idx="11">
                  <c:v>8800</c:v>
                </c:pt>
                <c:pt idx="12">
                  <c:v>8800</c:v>
                </c:pt>
                <c:pt idx="13">
                  <c:v>8800</c:v>
                </c:pt>
                <c:pt idx="14">
                  <c:v>8800</c:v>
                </c:pt>
                <c:pt idx="15">
                  <c:v>8800</c:v>
                </c:pt>
                <c:pt idx="16">
                  <c:v>8800</c:v>
                </c:pt>
                <c:pt idx="17">
                  <c:v>8800</c:v>
                </c:pt>
                <c:pt idx="18">
                  <c:v>8800</c:v>
                </c:pt>
                <c:pt idx="19">
                  <c:v>8800</c:v>
                </c:pt>
                <c:pt idx="20">
                  <c:v>8800</c:v>
                </c:pt>
                <c:pt idx="21">
                  <c:v>8800</c:v>
                </c:pt>
                <c:pt idx="22">
                  <c:v>8800</c:v>
                </c:pt>
                <c:pt idx="23">
                  <c:v>8800</c:v>
                </c:pt>
                <c:pt idx="24">
                  <c:v>8800</c:v>
                </c:pt>
                <c:pt idx="25">
                  <c:v>8800</c:v>
                </c:pt>
                <c:pt idx="26">
                  <c:v>8800</c:v>
                </c:pt>
                <c:pt idx="27">
                  <c:v>8800</c:v>
                </c:pt>
                <c:pt idx="28">
                  <c:v>8800</c:v>
                </c:pt>
                <c:pt idx="29">
                  <c:v>8800</c:v>
                </c:pt>
              </c:numCache>
            </c:numRef>
          </c:val>
          <c:smooth val="0"/>
        </c:ser>
        <c:ser>
          <c:idx val="4"/>
          <c:order val="4"/>
          <c:tx>
            <c:strRef>
              <c:f>4_Results!M5</c:f>
              <c:strCache>
                <c:ptCount val="1"/>
                <c:pt idx="0">
                  <c:v>Rev carrot</c:v>
                </c:pt>
              </c:strCache>
            </c:strRef>
          </c:tx>
          <c:spPr>
            <a:solidFill>
              <a:srgbClr val="46aac4"/>
            </a:solidFill>
            <a:ln w="28440">
              <a:solidFill>
                <a:srgbClr val="46aac4"/>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4_Results!$M$6:$M$35</c:f>
              <c:numCache>
                <c:formatCode>\$#,##0;"($"#,##0\);\-</c:formatCode>
                <c:ptCount val="30"/>
                <c:pt idx="0">
                  <c:v>2094</c:v>
                </c:pt>
                <c:pt idx="1">
                  <c:v>2094</c:v>
                </c:pt>
                <c:pt idx="2">
                  <c:v>2094</c:v>
                </c:pt>
                <c:pt idx="3">
                  <c:v>2094</c:v>
                </c:pt>
                <c:pt idx="4">
                  <c:v>2094</c:v>
                </c:pt>
                <c:pt idx="5">
                  <c:v>2094</c:v>
                </c:pt>
                <c:pt idx="6">
                  <c:v>2094</c:v>
                </c:pt>
                <c:pt idx="7">
                  <c:v>2094</c:v>
                </c:pt>
                <c:pt idx="8">
                  <c:v>2094</c:v>
                </c:pt>
                <c:pt idx="9">
                  <c:v>2094</c:v>
                </c:pt>
                <c:pt idx="10">
                  <c:v>2094</c:v>
                </c:pt>
                <c:pt idx="11">
                  <c:v>2094</c:v>
                </c:pt>
                <c:pt idx="12">
                  <c:v>2094</c:v>
                </c:pt>
                <c:pt idx="13">
                  <c:v>2094</c:v>
                </c:pt>
                <c:pt idx="14">
                  <c:v>2094</c:v>
                </c:pt>
                <c:pt idx="15">
                  <c:v>2094</c:v>
                </c:pt>
                <c:pt idx="16">
                  <c:v>2094</c:v>
                </c:pt>
                <c:pt idx="17">
                  <c:v>2094</c:v>
                </c:pt>
                <c:pt idx="18">
                  <c:v>2094</c:v>
                </c:pt>
                <c:pt idx="19">
                  <c:v>2094</c:v>
                </c:pt>
                <c:pt idx="20">
                  <c:v>2094</c:v>
                </c:pt>
                <c:pt idx="21">
                  <c:v>2094</c:v>
                </c:pt>
                <c:pt idx="22">
                  <c:v>2094</c:v>
                </c:pt>
                <c:pt idx="23">
                  <c:v>2094</c:v>
                </c:pt>
                <c:pt idx="24">
                  <c:v>2094</c:v>
                </c:pt>
                <c:pt idx="25">
                  <c:v>2094</c:v>
                </c:pt>
                <c:pt idx="26">
                  <c:v>2094</c:v>
                </c:pt>
                <c:pt idx="27">
                  <c:v>2094</c:v>
                </c:pt>
                <c:pt idx="28">
                  <c:v>2094</c:v>
                </c:pt>
                <c:pt idx="29">
                  <c:v>2094</c:v>
                </c:pt>
              </c:numCache>
            </c:numRef>
          </c:val>
          <c:smooth val="0"/>
        </c:ser>
        <c:ser>
          <c:idx val="5"/>
          <c:order val="5"/>
          <c:tx>
            <c:strRef>
              <c:f>4_Results!N5</c:f>
              <c:strCache>
                <c:ptCount val="1"/>
                <c:pt idx="0">
                  <c:v>Rev mesclun</c:v>
                </c:pt>
              </c:strCache>
            </c:strRef>
          </c:tx>
          <c:spPr>
            <a:solidFill>
              <a:srgbClr val="f59240"/>
            </a:solidFill>
            <a:ln w="28440">
              <a:solidFill>
                <a:srgbClr val="f5924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4_Results!$H$6:$H$35</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4_Results!$N$6:$N$35</c:f>
              <c:numCache>
                <c:formatCode>\$#,##0;"($"#,##0\);\-</c:formatCode>
                <c:ptCount val="30"/>
                <c:pt idx="0">
                  <c:v>2700</c:v>
                </c:pt>
                <c:pt idx="1">
                  <c:v>2700</c:v>
                </c:pt>
                <c:pt idx="2">
                  <c:v>2700</c:v>
                </c:pt>
                <c:pt idx="3">
                  <c:v>2700</c:v>
                </c:pt>
                <c:pt idx="4">
                  <c:v>2700</c:v>
                </c:pt>
                <c:pt idx="5">
                  <c:v>2700</c:v>
                </c:pt>
                <c:pt idx="6">
                  <c:v>2700</c:v>
                </c:pt>
                <c:pt idx="7">
                  <c:v>2700</c:v>
                </c:pt>
                <c:pt idx="8">
                  <c:v>2700</c:v>
                </c:pt>
                <c:pt idx="9">
                  <c:v>2700</c:v>
                </c:pt>
                <c:pt idx="10">
                  <c:v>2700</c:v>
                </c:pt>
                <c:pt idx="11">
                  <c:v>2700</c:v>
                </c:pt>
                <c:pt idx="12">
                  <c:v>2700</c:v>
                </c:pt>
                <c:pt idx="13">
                  <c:v>2700</c:v>
                </c:pt>
                <c:pt idx="14">
                  <c:v>2700</c:v>
                </c:pt>
                <c:pt idx="15">
                  <c:v>2700</c:v>
                </c:pt>
                <c:pt idx="16">
                  <c:v>2700</c:v>
                </c:pt>
                <c:pt idx="17">
                  <c:v>2700</c:v>
                </c:pt>
                <c:pt idx="18">
                  <c:v>2700</c:v>
                </c:pt>
                <c:pt idx="19">
                  <c:v>2700</c:v>
                </c:pt>
                <c:pt idx="20">
                  <c:v>2700</c:v>
                </c:pt>
                <c:pt idx="21">
                  <c:v>2700</c:v>
                </c:pt>
                <c:pt idx="22">
                  <c:v>2700</c:v>
                </c:pt>
                <c:pt idx="23">
                  <c:v>2700</c:v>
                </c:pt>
                <c:pt idx="24">
                  <c:v>2700</c:v>
                </c:pt>
                <c:pt idx="25">
                  <c:v>2700</c:v>
                </c:pt>
                <c:pt idx="26">
                  <c:v>2700</c:v>
                </c:pt>
                <c:pt idx="27">
                  <c:v>2700</c:v>
                </c:pt>
                <c:pt idx="28">
                  <c:v>2700</c:v>
                </c:pt>
                <c:pt idx="29">
                  <c:v>2700</c:v>
                </c:pt>
              </c:numCache>
            </c:numRef>
          </c:val>
          <c:smooth val="0"/>
        </c:ser>
        <c:hiLowLines>
          <c:spPr>
            <a:ln w="0">
              <a:noFill/>
            </a:ln>
          </c:spPr>
        </c:hiLowLines>
        <c:marker val="0"/>
        <c:axId val="57416639"/>
        <c:axId val="73228457"/>
      </c:lineChart>
      <c:catAx>
        <c:axId val="574166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Beds planted (q)</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28457"/>
        <c:crosses val="autoZero"/>
        <c:auto val="1"/>
        <c:lblAlgn val="ctr"/>
        <c:lblOffset val="100"/>
        <c:noMultiLvlLbl val="0"/>
      </c:catAx>
      <c:valAx>
        <c:axId val="732284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bed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4166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31</xdr:row>
      <xdr:rowOff>0</xdr:rowOff>
    </xdr:from>
    <xdr:to>
      <xdr:col>6</xdr:col>
      <xdr:colOff>103320</xdr:colOff>
      <xdr:row>50</xdr:row>
      <xdr:rowOff>160200</xdr:rowOff>
    </xdr:to>
    <xdr:graphicFrame>
      <xdr:nvGraphicFramePr>
        <xdr:cNvPr id="0" name="Chart 1"/>
        <xdr:cNvGraphicFramePr/>
      </xdr:nvGraphicFramePr>
      <xdr:xfrm>
        <a:off x="0" y="6048360"/>
        <a:ext cx="827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5"/>
    <col collapsed="false" customWidth="true" hidden="false" outlineLevel="0" max="4" min="4" style="0" width="20"/>
    <col collapsed="false" customWidth="true" hidden="false" outlineLevel="0" max="5" min="5" style="0" width="52"/>
  </cols>
  <sheetData>
    <row r="1" customFormat="false" ht="25.5" hidden="false" customHeight="true" outlineLevel="0" collapsed="false">
      <c r="A1" s="1" t="s">
        <v>0</v>
      </c>
      <c r="B1" s="1"/>
      <c r="C1" s="1"/>
      <c r="D1" s="1"/>
      <c r="E1" s="1"/>
    </row>
    <row r="2" customFormat="false" ht="15.75" hidden="false" customHeight="true" outlineLevel="0" collapsed="false">
      <c r="A2" s="2" t="s">
        <v>1</v>
      </c>
      <c r="B2" s="2"/>
      <c r="C2" s="2"/>
      <c r="D2" s="2"/>
      <c r="E2" s="2"/>
    </row>
    <row r="3" customFormat="false" ht="15" hidden="false" customHeight="false" outlineLevel="0" collapsed="false">
      <c r="A3" s="3" t="s">
        <v>2</v>
      </c>
      <c r="B3" s="3"/>
      <c r="C3" s="3"/>
      <c r="D3" s="3"/>
      <c r="E3" s="3"/>
    </row>
    <row r="5" customFormat="false" ht="15" hidden="false" customHeight="false" outlineLevel="0" collapsed="false">
      <c r="A5" s="4" t="s">
        <v>3</v>
      </c>
      <c r="B5" s="4"/>
      <c r="C5" s="4"/>
      <c r="D5" s="4"/>
      <c r="E5" s="4"/>
    </row>
    <row r="6" customFormat="false" ht="15" hidden="false" customHeight="false" outlineLevel="0" collapsed="false">
      <c r="A6" s="5" t="s">
        <v>4</v>
      </c>
      <c r="B6" s="5" t="s">
        <v>5</v>
      </c>
      <c r="C6" s="5" t="s">
        <v>6</v>
      </c>
      <c r="D6" s="5" t="s">
        <v>7</v>
      </c>
      <c r="E6" s="5" t="s">
        <v>8</v>
      </c>
    </row>
    <row r="7" customFormat="false" ht="15" hidden="false" customHeight="false" outlineLevel="0" collapsed="false">
      <c r="A7" s="6" t="s">
        <v>9</v>
      </c>
      <c r="B7" s="7" t="s">
        <v>10</v>
      </c>
      <c r="C7" s="8" t="n">
        <v>36</v>
      </c>
      <c r="D7" s="6" t="s">
        <v>11</v>
      </c>
      <c r="E7" s="6" t="s">
        <v>12</v>
      </c>
    </row>
    <row r="8" customFormat="false" ht="15" hidden="false" customHeight="false" outlineLevel="0" collapsed="false">
      <c r="A8" s="6" t="s">
        <v>13</v>
      </c>
      <c r="B8" s="7" t="s">
        <v>14</v>
      </c>
      <c r="C8" s="8" t="n">
        <v>64</v>
      </c>
      <c r="D8" s="6" t="s">
        <v>15</v>
      </c>
      <c r="E8" s="6" t="s">
        <v>16</v>
      </c>
    </row>
    <row r="9" customFormat="false" ht="15" hidden="false" customHeight="false" outlineLevel="0" collapsed="false">
      <c r="A9" s="6" t="s">
        <v>17</v>
      </c>
      <c r="B9" s="7" t="s">
        <v>18</v>
      </c>
      <c r="C9" s="9" t="n">
        <v>20000</v>
      </c>
      <c r="D9" s="6" t="s">
        <v>19</v>
      </c>
      <c r="E9" s="6" t="s">
        <v>20</v>
      </c>
    </row>
    <row r="11" customFormat="false" ht="15" hidden="false" customHeight="false" outlineLevel="0" collapsed="false">
      <c r="A11" s="4" t="s">
        <v>21</v>
      </c>
      <c r="B11" s="4"/>
      <c r="C11" s="4"/>
      <c r="D11" s="4"/>
      <c r="E11" s="4"/>
    </row>
    <row r="12" customFormat="false" ht="15" hidden="false" customHeight="false" outlineLevel="0" collapsed="false">
      <c r="A12" s="5" t="s">
        <v>4</v>
      </c>
      <c r="B12" s="5" t="s">
        <v>5</v>
      </c>
      <c r="C12" s="5" t="s">
        <v>6</v>
      </c>
      <c r="D12" s="5" t="s">
        <v>7</v>
      </c>
      <c r="E12" s="5" t="s">
        <v>8</v>
      </c>
    </row>
    <row r="13" customFormat="false" ht="15" hidden="false" customHeight="false" outlineLevel="0" collapsed="false">
      <c r="A13" s="6" t="s">
        <v>22</v>
      </c>
      <c r="B13" s="7" t="s">
        <v>23</v>
      </c>
      <c r="C13" s="9" t="n">
        <v>8800</v>
      </c>
      <c r="D13" s="6" t="s">
        <v>24</v>
      </c>
      <c r="E13" s="6" t="s">
        <v>25</v>
      </c>
    </row>
    <row r="14" customFormat="false" ht="15" hidden="false" customHeight="false" outlineLevel="0" collapsed="false">
      <c r="A14" s="6" t="s">
        <v>26</v>
      </c>
      <c r="B14" s="7" t="s">
        <v>27</v>
      </c>
      <c r="C14" s="9" t="n">
        <v>2094</v>
      </c>
      <c r="D14" s="6" t="s">
        <v>24</v>
      </c>
      <c r="E14" s="6" t="s">
        <v>28</v>
      </c>
    </row>
    <row r="15" customFormat="false" ht="15" hidden="false" customHeight="false" outlineLevel="0" collapsed="false">
      <c r="A15" s="6" t="s">
        <v>29</v>
      </c>
      <c r="B15" s="7" t="s">
        <v>30</v>
      </c>
      <c r="C15" s="9" t="n">
        <v>2700</v>
      </c>
      <c r="D15" s="6" t="s">
        <v>24</v>
      </c>
      <c r="E15" s="6" t="s">
        <v>31</v>
      </c>
    </row>
    <row r="16" customFormat="false" ht="15" hidden="false" customHeight="false" outlineLevel="0" collapsed="false">
      <c r="A16" s="6" t="s">
        <v>32</v>
      </c>
      <c r="B16" s="7" t="s">
        <v>33</v>
      </c>
      <c r="C16" s="10" t="n">
        <v>2.5</v>
      </c>
      <c r="D16" s="6" t="s">
        <v>34</v>
      </c>
      <c r="E16" s="6" t="s">
        <v>35</v>
      </c>
    </row>
    <row r="17" customFormat="false" ht="15" hidden="false" customHeight="false" outlineLevel="0" collapsed="false">
      <c r="A17" s="6" t="s">
        <v>36</v>
      </c>
      <c r="B17" s="7" t="s">
        <v>37</v>
      </c>
      <c r="C17" s="11" t="n">
        <f aca="false">in_HrsWkBed_Tom/3</f>
        <v>0.833333333333333</v>
      </c>
      <c r="D17" s="6" t="s">
        <v>34</v>
      </c>
      <c r="E17" s="6" t="s">
        <v>38</v>
      </c>
    </row>
    <row r="18" customFormat="false" ht="15" hidden="false" customHeight="false" outlineLevel="0" collapsed="false">
      <c r="A18" s="6" t="s">
        <v>39</v>
      </c>
      <c r="B18" s="7" t="s">
        <v>40</v>
      </c>
      <c r="C18" s="11" t="n">
        <f aca="false">in_HrsWkBed_Tom/2</f>
        <v>1.25</v>
      </c>
      <c r="D18" s="6" t="s">
        <v>34</v>
      </c>
      <c r="E18" s="6" t="s">
        <v>41</v>
      </c>
    </row>
    <row r="19" customFormat="false" ht="15" hidden="false" customHeight="false" outlineLevel="0" collapsed="false">
      <c r="A19" s="6" t="s">
        <v>42</v>
      </c>
      <c r="B19" s="7" t="s">
        <v>43</v>
      </c>
      <c r="C19" s="9" t="n">
        <v>880</v>
      </c>
      <c r="D19" s="6" t="s">
        <v>44</v>
      </c>
      <c r="E19" s="6" t="s">
        <v>45</v>
      </c>
    </row>
    <row r="20" customFormat="false" ht="15" hidden="false" customHeight="false" outlineLevel="0" collapsed="false">
      <c r="A20" s="6" t="s">
        <v>46</v>
      </c>
      <c r="B20" s="7" t="s">
        <v>47</v>
      </c>
      <c r="C20" s="9" t="n">
        <v>440</v>
      </c>
      <c r="D20" s="6" t="s">
        <v>44</v>
      </c>
      <c r="E20" s="6" t="s">
        <v>48</v>
      </c>
    </row>
    <row r="21" customFormat="false" ht="15" hidden="false" customHeight="false" outlineLevel="0" collapsed="false">
      <c r="A21" s="6" t="s">
        <v>49</v>
      </c>
      <c r="B21" s="7" t="s">
        <v>50</v>
      </c>
      <c r="C21" s="9" t="n">
        <v>880</v>
      </c>
      <c r="D21" s="6" t="s">
        <v>44</v>
      </c>
      <c r="E21" s="6" t="s">
        <v>51</v>
      </c>
    </row>
    <row r="22" customFormat="false" ht="15" hidden="false" customHeight="false" outlineLevel="0" collapsed="false">
      <c r="A22" s="6" t="s">
        <v>52</v>
      </c>
      <c r="B22" s="7" t="s">
        <v>53</v>
      </c>
      <c r="C22" s="12" t="n">
        <v>0.1</v>
      </c>
      <c r="D22" s="6" t="s">
        <v>54</v>
      </c>
      <c r="E22" s="6" t="s">
        <v>55</v>
      </c>
    </row>
    <row r="23" customFormat="false" ht="15" hidden="false" customHeight="false" outlineLevel="0" collapsed="false">
      <c r="A23" s="6" t="s">
        <v>56</v>
      </c>
      <c r="B23" s="7" t="s">
        <v>57</v>
      </c>
      <c r="C23" s="12" t="n">
        <v>0.025</v>
      </c>
      <c r="D23" s="6" t="s">
        <v>54</v>
      </c>
      <c r="E23" s="6" t="s">
        <v>58</v>
      </c>
    </row>
    <row r="24" customFormat="false" ht="15" hidden="false" customHeight="false" outlineLevel="0" collapsed="false">
      <c r="A24" s="6" t="s">
        <v>59</v>
      </c>
      <c r="B24" s="7" t="s">
        <v>60</v>
      </c>
      <c r="C24" s="12" t="n">
        <v>0.0125</v>
      </c>
      <c r="D24" s="6" t="s">
        <v>54</v>
      </c>
      <c r="E24" s="6" t="s">
        <v>61</v>
      </c>
    </row>
    <row r="25" customFormat="false" ht="15" hidden="false" customHeight="false" outlineLevel="0" collapsed="false">
      <c r="A25" s="6" t="s">
        <v>62</v>
      </c>
      <c r="B25" s="7" t="s">
        <v>63</v>
      </c>
      <c r="C25" s="8" t="n">
        <v>20</v>
      </c>
      <c r="D25" s="6" t="s">
        <v>15</v>
      </c>
      <c r="E25" s="6" t="s">
        <v>64</v>
      </c>
    </row>
    <row r="26" customFormat="false" ht="15" hidden="false" customHeight="false" outlineLevel="0" collapsed="false">
      <c r="A26" s="6" t="s">
        <v>65</v>
      </c>
      <c r="B26" s="7" t="s">
        <v>66</v>
      </c>
      <c r="C26" s="8" t="n">
        <v>20</v>
      </c>
      <c r="D26" s="6" t="s">
        <v>15</v>
      </c>
      <c r="E26" s="6" t="s">
        <v>67</v>
      </c>
    </row>
    <row r="27" customFormat="false" ht="15" hidden="false" customHeight="false" outlineLevel="0" collapsed="false">
      <c r="A27" s="6" t="s">
        <v>68</v>
      </c>
      <c r="B27" s="7" t="s">
        <v>69</v>
      </c>
      <c r="C27" s="8" t="n">
        <v>30</v>
      </c>
      <c r="D27" s="6" t="s">
        <v>15</v>
      </c>
      <c r="E27" s="6" t="s">
        <v>70</v>
      </c>
    </row>
    <row r="29" customFormat="false" ht="15" hidden="false" customHeight="false" outlineLevel="0" collapsed="false">
      <c r="A29" s="4" t="s">
        <v>71</v>
      </c>
      <c r="B29" s="4"/>
      <c r="C29" s="4"/>
      <c r="D29" s="4"/>
      <c r="E29" s="4"/>
    </row>
    <row r="30" customFormat="false" ht="15" hidden="false" customHeight="false" outlineLevel="0" collapsed="false">
      <c r="A30" s="5" t="s">
        <v>4</v>
      </c>
      <c r="B30" s="5" t="s">
        <v>5</v>
      </c>
      <c r="C30" s="5" t="s">
        <v>6</v>
      </c>
      <c r="D30" s="5" t="s">
        <v>7</v>
      </c>
      <c r="E30" s="5" t="s">
        <v>8</v>
      </c>
    </row>
    <row r="31" customFormat="false" ht="15" hidden="false" customHeight="false" outlineLevel="0" collapsed="false">
      <c r="A31" s="6" t="s">
        <v>72</v>
      </c>
      <c r="B31" s="7" t="s">
        <v>73</v>
      </c>
      <c r="C31" s="9" t="n">
        <v>50000</v>
      </c>
      <c r="D31" s="6" t="s">
        <v>19</v>
      </c>
      <c r="E31" s="6" t="s">
        <v>74</v>
      </c>
    </row>
    <row r="32" customFormat="false" ht="15" hidden="false" customHeight="false" outlineLevel="0" collapsed="false">
      <c r="A32" s="6" t="s">
        <v>75</v>
      </c>
      <c r="B32" s="7" t="s">
        <v>76</v>
      </c>
      <c r="C32" s="8" t="n">
        <v>1440</v>
      </c>
      <c r="D32" s="6" t="s">
        <v>77</v>
      </c>
      <c r="E32" s="6" t="s">
        <v>78</v>
      </c>
    </row>
    <row r="33" customFormat="false" ht="15" hidden="false" customHeight="false" outlineLevel="0" collapsed="false">
      <c r="A33" s="6" t="s">
        <v>79</v>
      </c>
      <c r="B33" s="7" t="s">
        <v>80</v>
      </c>
      <c r="C33" s="12" t="n">
        <v>0.5</v>
      </c>
      <c r="D33" s="6" t="s">
        <v>81</v>
      </c>
      <c r="E33" s="6" t="s">
        <v>82</v>
      </c>
    </row>
    <row r="34" customFormat="false" ht="15" hidden="false" customHeight="false" outlineLevel="0" collapsed="false">
      <c r="A34" s="6" t="s">
        <v>83</v>
      </c>
      <c r="B34" s="7" t="s">
        <v>84</v>
      </c>
      <c r="C34" s="9" t="n">
        <v>25000</v>
      </c>
      <c r="D34" s="6" t="s">
        <v>85</v>
      </c>
      <c r="E34" s="6" t="s">
        <v>86</v>
      </c>
    </row>
    <row r="35" customFormat="false" ht="15" hidden="false" customHeight="false" outlineLevel="0" collapsed="false">
      <c r="A35" s="6" t="s">
        <v>87</v>
      </c>
      <c r="B35" s="7" t="s">
        <v>88</v>
      </c>
      <c r="C35" s="8" t="n">
        <v>1440</v>
      </c>
      <c r="D35" s="6" t="s">
        <v>89</v>
      </c>
      <c r="E35" s="6" t="s">
        <v>90</v>
      </c>
    </row>
    <row r="36" customFormat="false" ht="15" hidden="false" customHeight="false" outlineLevel="0" collapsed="false">
      <c r="A36" s="6" t="s">
        <v>91</v>
      </c>
      <c r="B36" s="7" t="s">
        <v>92</v>
      </c>
      <c r="C36" s="8" t="n">
        <v>4</v>
      </c>
      <c r="D36" s="6" t="s">
        <v>93</v>
      </c>
      <c r="E36" s="6" t="s">
        <v>94</v>
      </c>
    </row>
    <row r="38" customFormat="false" ht="15" hidden="false" customHeight="false" outlineLevel="0" collapsed="false">
      <c r="A38" s="4" t="s">
        <v>95</v>
      </c>
      <c r="B38" s="4"/>
      <c r="C38" s="4"/>
      <c r="D38" s="4"/>
      <c r="E38" s="4"/>
    </row>
    <row r="39" customFormat="false" ht="15" hidden="false" customHeight="false" outlineLevel="0" collapsed="false">
      <c r="A39" s="5" t="s">
        <v>96</v>
      </c>
      <c r="B39" s="5" t="s">
        <v>5</v>
      </c>
      <c r="C39" s="5" t="s">
        <v>6</v>
      </c>
      <c r="D39" s="5" t="s">
        <v>7</v>
      </c>
      <c r="E39" s="5" t="s">
        <v>97</v>
      </c>
    </row>
    <row r="40" customFormat="false" ht="15" hidden="false" customHeight="false" outlineLevel="0" collapsed="false">
      <c r="A40" s="6" t="s">
        <v>98</v>
      </c>
      <c r="B40" s="7" t="s">
        <v>99</v>
      </c>
      <c r="C40" s="11" t="n">
        <f aca="false">in_OwnerHrsPaid*in_OwnerFieldShare</f>
        <v>720</v>
      </c>
      <c r="D40" s="6" t="s">
        <v>77</v>
      </c>
      <c r="E40" s="7" t="s">
        <v>100</v>
      </c>
    </row>
    <row r="41" customFormat="false" ht="15" hidden="false" customHeight="false" outlineLevel="0" collapsed="false">
      <c r="A41" s="6" t="s">
        <v>101</v>
      </c>
      <c r="B41" s="7" t="s">
        <v>102</v>
      </c>
      <c r="C41" s="13" t="n">
        <f aca="false">in_OwnerPay/in_OwnerHrsPaid</f>
        <v>34.7222222222222</v>
      </c>
      <c r="D41" s="6" t="s">
        <v>103</v>
      </c>
      <c r="E41" s="7" t="s">
        <v>104</v>
      </c>
    </row>
    <row r="42" customFormat="false" ht="15" hidden="false" customHeight="false" outlineLevel="0" collapsed="false">
      <c r="A42" s="6" t="s">
        <v>105</v>
      </c>
      <c r="B42" s="7" t="s">
        <v>106</v>
      </c>
      <c r="C42" s="13" t="n">
        <f aca="false">in_TempPay/in_TempHrsEach</f>
        <v>17.3611111111111</v>
      </c>
      <c r="D42" s="6" t="s">
        <v>103</v>
      </c>
      <c r="E42" s="7" t="s">
        <v>107</v>
      </c>
    </row>
    <row r="43" customFormat="false" ht="15" hidden="false" customHeight="false" outlineLevel="0" collapsed="false">
      <c r="A43" s="6" t="s">
        <v>108</v>
      </c>
      <c r="B43" s="7" t="s">
        <v>109</v>
      </c>
      <c r="C43" s="11" t="n">
        <f aca="false">in_TempMax*in_TempHrsEach</f>
        <v>5760</v>
      </c>
      <c r="D43" s="6" t="s">
        <v>77</v>
      </c>
      <c r="E43" s="7" t="s">
        <v>110</v>
      </c>
    </row>
    <row r="45" customFormat="false" ht="15" hidden="false" customHeight="false" outlineLevel="0" collapsed="false">
      <c r="A45" s="4" t="s">
        <v>111</v>
      </c>
      <c r="B45" s="4"/>
      <c r="C45" s="4"/>
      <c r="D45" s="4"/>
      <c r="E45" s="4"/>
    </row>
    <row r="46" customFormat="false" ht="15" hidden="false" customHeight="false" outlineLevel="0" collapsed="false">
      <c r="A46" s="5" t="s">
        <v>112</v>
      </c>
      <c r="B46" s="5" t="s">
        <v>113</v>
      </c>
      <c r="C46" s="5" t="s">
        <v>114</v>
      </c>
      <c r="D46" s="5"/>
      <c r="E46" s="5"/>
    </row>
    <row r="47" customFormat="false" ht="15" hidden="false" customHeight="false" outlineLevel="0" collapsed="false">
      <c r="A47" s="14" t="s">
        <v>115</v>
      </c>
      <c r="B47" s="6" t="s">
        <v>116</v>
      </c>
      <c r="C47" s="7" t="s">
        <v>117</v>
      </c>
    </row>
    <row r="48" customFormat="false" ht="15" hidden="false" customHeight="false" outlineLevel="0" collapsed="false">
      <c r="A48" s="14" t="s">
        <v>118</v>
      </c>
      <c r="B48" s="6" t="s">
        <v>119</v>
      </c>
      <c r="C48" s="7" t="s">
        <v>120</v>
      </c>
    </row>
    <row r="49" customFormat="false" ht="15" hidden="false" customHeight="false" outlineLevel="0" collapsed="false">
      <c r="A49" s="14" t="s">
        <v>121</v>
      </c>
      <c r="B49" s="6" t="s">
        <v>122</v>
      </c>
      <c r="C49" s="7" t="s">
        <v>123</v>
      </c>
    </row>
    <row r="50" customFormat="false" ht="15" hidden="false" customHeight="false" outlineLevel="0" collapsed="false">
      <c r="A50" s="3" t="s">
        <v>124</v>
      </c>
      <c r="B50" s="3"/>
      <c r="C50" s="3"/>
      <c r="D50" s="3"/>
      <c r="E50" s="3"/>
    </row>
    <row r="52" customFormat="false" ht="15" hidden="false" customHeight="false" outlineLevel="0" collapsed="false">
      <c r="A52" s="4" t="s">
        <v>125</v>
      </c>
      <c r="B52" s="4"/>
      <c r="C52" s="4"/>
      <c r="D52" s="4"/>
      <c r="E52" s="4"/>
    </row>
    <row r="53" customFormat="false" ht="15" hidden="false" customHeight="false" outlineLevel="0" collapsed="false">
      <c r="A53" s="3" t="s">
        <v>126</v>
      </c>
      <c r="B53" s="3"/>
      <c r="C53" s="3"/>
      <c r="D53" s="3"/>
      <c r="E53" s="3"/>
    </row>
    <row r="54" customFormat="false" ht="15" hidden="false" customHeight="false" outlineLevel="0" collapsed="false">
      <c r="A54" s="3" t="s">
        <v>127</v>
      </c>
      <c r="B54" s="3"/>
      <c r="C54" s="3"/>
      <c r="D54" s="3"/>
      <c r="E54" s="3"/>
    </row>
    <row r="55" customFormat="false" ht="15" hidden="false" customHeight="false" outlineLevel="0" collapsed="false">
      <c r="A55" s="3" t="s">
        <v>128</v>
      </c>
      <c r="B55" s="3"/>
      <c r="C55" s="3"/>
      <c r="D55" s="3"/>
      <c r="E55" s="3"/>
    </row>
    <row r="56" customFormat="false" ht="15" hidden="false" customHeight="false" outlineLevel="0" collapsed="false">
      <c r="A56" s="3" t="s">
        <v>129</v>
      </c>
      <c r="B56" s="3"/>
      <c r="C56" s="3"/>
      <c r="D56" s="3"/>
      <c r="E56" s="3"/>
    </row>
  </sheetData>
  <mergeCells count="14">
    <mergeCell ref="A1:E1"/>
    <mergeCell ref="A2:E2"/>
    <mergeCell ref="A3:E3"/>
    <mergeCell ref="A5:E5"/>
    <mergeCell ref="A11:E11"/>
    <mergeCell ref="A29:E29"/>
    <mergeCell ref="A38:E38"/>
    <mergeCell ref="A45:E45"/>
    <mergeCell ref="A50:E50"/>
    <mergeCell ref="A52:E52"/>
    <mergeCell ref="A53:E53"/>
    <mergeCell ref="A54:E54"/>
    <mergeCell ref="A55:E55"/>
    <mergeCell ref="A56:E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12"/>
    <col collapsed="false" customWidth="true" hidden="false" outlineLevel="0" max="5" min="4" style="0" width="13"/>
    <col collapsed="false" customWidth="true" hidden="false" outlineLevel="0" max="6" min="6" style="0" width="14"/>
    <col collapsed="false" customWidth="true" hidden="false" outlineLevel="0" max="7" min="7" style="0" width="10"/>
    <col collapsed="false" customWidth="true" hidden="false" outlineLevel="0" max="9" min="9" style="0" width="9"/>
    <col collapsed="false" customWidth="true" hidden="false" outlineLevel="0" max="10" min="10" style="0" width="12"/>
    <col collapsed="false" customWidth="true" hidden="false" outlineLevel="0" max="12" min="11" style="0" width="13"/>
    <col collapsed="false" customWidth="true" hidden="false" outlineLevel="0" max="13" min="13" style="0" width="14"/>
    <col collapsed="false" customWidth="true" hidden="false" outlineLevel="0" max="14" min="14" style="0" width="10"/>
    <col collapsed="false" customWidth="true" hidden="false" outlineLevel="0" max="16" min="16" style="0" width="9"/>
    <col collapsed="false" customWidth="true" hidden="false" outlineLevel="0" max="17" min="17" style="0" width="12"/>
    <col collapsed="false" customWidth="true" hidden="false" outlineLevel="0" max="19" min="18" style="0" width="13"/>
    <col collapsed="false" customWidth="true" hidden="false" outlineLevel="0" max="20" min="20" style="0" width="14"/>
    <col collapsed="false" customWidth="true" hidden="false" outlineLevel="0" max="21" min="21" style="0" width="10"/>
  </cols>
  <sheetData>
    <row r="1" customFormat="false" ht="25.5" hidden="false" customHeight="true" outlineLevel="0" collapsed="false">
      <c r="A1" s="1" t="s">
        <v>130</v>
      </c>
      <c r="B1" s="1"/>
      <c r="C1" s="1"/>
      <c r="D1" s="1"/>
      <c r="E1" s="1"/>
      <c r="F1" s="1"/>
      <c r="G1" s="1"/>
      <c r="H1" s="1"/>
      <c r="I1" s="1"/>
      <c r="J1" s="1"/>
      <c r="K1" s="1"/>
      <c r="L1" s="1"/>
      <c r="M1" s="1"/>
      <c r="N1" s="1"/>
      <c r="O1" s="1"/>
      <c r="P1" s="1"/>
      <c r="Q1" s="1"/>
      <c r="R1" s="1"/>
      <c r="S1" s="1"/>
      <c r="T1" s="1"/>
      <c r="U1" s="1"/>
    </row>
    <row r="2" customFormat="false" ht="15.75" hidden="false" customHeight="true" outlineLevel="0" collapsed="false">
      <c r="A2" s="2" t="s">
        <v>131</v>
      </c>
      <c r="B2" s="2"/>
      <c r="C2" s="2"/>
      <c r="D2" s="2"/>
      <c r="E2" s="2"/>
      <c r="F2" s="2"/>
      <c r="G2" s="2"/>
      <c r="H2" s="2"/>
      <c r="I2" s="2"/>
      <c r="J2" s="2"/>
      <c r="K2" s="2"/>
      <c r="L2" s="2"/>
      <c r="M2" s="2"/>
      <c r="N2" s="2"/>
      <c r="O2" s="2"/>
      <c r="P2" s="2"/>
      <c r="Q2" s="2"/>
      <c r="R2" s="2"/>
      <c r="S2" s="2"/>
      <c r="T2" s="2"/>
      <c r="U2" s="2"/>
    </row>
    <row r="3" customFormat="false" ht="15" hidden="false" customHeight="false" outlineLevel="0" collapsed="false">
      <c r="A3" s="3" t="s">
        <v>132</v>
      </c>
      <c r="B3" s="3"/>
      <c r="C3" s="3"/>
      <c r="D3" s="3"/>
      <c r="E3" s="3"/>
      <c r="F3" s="3"/>
      <c r="G3" s="3"/>
      <c r="H3" s="3"/>
      <c r="I3" s="3"/>
      <c r="J3" s="3"/>
      <c r="K3" s="3"/>
      <c r="L3" s="3"/>
      <c r="M3" s="3"/>
      <c r="N3" s="3"/>
      <c r="O3" s="3"/>
      <c r="P3" s="3"/>
      <c r="Q3" s="3"/>
      <c r="R3" s="3"/>
      <c r="S3" s="3"/>
      <c r="T3" s="3"/>
      <c r="U3" s="3"/>
    </row>
    <row r="5" customFormat="false" ht="15" hidden="false" customHeight="false" outlineLevel="0" collapsed="false">
      <c r="B5" s="15" t="s">
        <v>133</v>
      </c>
      <c r="C5" s="15"/>
      <c r="D5" s="15"/>
      <c r="E5" s="15"/>
      <c r="F5" s="15"/>
      <c r="G5" s="15"/>
      <c r="I5" s="15" t="s">
        <v>134</v>
      </c>
      <c r="J5" s="15"/>
      <c r="K5" s="15"/>
      <c r="L5" s="15"/>
      <c r="M5" s="15"/>
      <c r="N5" s="15"/>
      <c r="P5" s="15" t="s">
        <v>135</v>
      </c>
      <c r="Q5" s="15"/>
      <c r="R5" s="15"/>
      <c r="S5" s="15"/>
      <c r="T5" s="15"/>
      <c r="U5" s="15"/>
    </row>
    <row r="6" customFormat="false" ht="15" hidden="false" customHeight="false" outlineLevel="0" collapsed="false">
      <c r="B6" s="5" t="s">
        <v>136</v>
      </c>
      <c r="C6" s="5" t="s">
        <v>137</v>
      </c>
      <c r="D6" s="5" t="s">
        <v>138</v>
      </c>
      <c r="E6" s="5" t="s">
        <v>139</v>
      </c>
      <c r="F6" s="5" t="s">
        <v>140</v>
      </c>
      <c r="G6" s="5" t="s">
        <v>141</v>
      </c>
      <c r="I6" s="5" t="s">
        <v>136</v>
      </c>
      <c r="J6" s="5" t="s">
        <v>137</v>
      </c>
      <c r="K6" s="5" t="s">
        <v>138</v>
      </c>
      <c r="L6" s="5" t="s">
        <v>139</v>
      </c>
      <c r="M6" s="5" t="s">
        <v>140</v>
      </c>
      <c r="N6" s="5" t="s">
        <v>141</v>
      </c>
      <c r="P6" s="5" t="s">
        <v>136</v>
      </c>
      <c r="Q6" s="5" t="s">
        <v>137</v>
      </c>
      <c r="R6" s="5" t="s">
        <v>138</v>
      </c>
      <c r="S6" s="5" t="s">
        <v>139</v>
      </c>
      <c r="T6" s="5" t="s">
        <v>140</v>
      </c>
      <c r="U6" s="5" t="s">
        <v>141</v>
      </c>
    </row>
    <row r="7" customFormat="false" ht="15" hidden="false" customHeight="false" outlineLevel="0" collapsed="false">
      <c r="B7" s="16" t="n">
        <v>1</v>
      </c>
      <c r="C7" s="11" t="n">
        <f aca="false">$B7*in_HrsWkBed_Tom*in_WeeksSeason*(1+in_Dim_Tom)^$B7</f>
        <v>99</v>
      </c>
      <c r="D7" s="11" t="n">
        <f aca="false">C7-IF($B7=1,0,C6)</f>
        <v>99</v>
      </c>
      <c r="E7" s="17" t="n">
        <f aca="false">MIN(C7,in_OwnerFieldHrs)*rate_Owner+MAX(0,C7-in_OwnerFieldHrs)*rate_Temp+in_Fert_Tom*$B7</f>
        <v>4317.5</v>
      </c>
      <c r="F7" s="17" t="n">
        <f aca="false">E7-IF($B7=1,0,E6)</f>
        <v>4317.5</v>
      </c>
      <c r="G7" s="18" t="str">
        <f aca="false">IF(in_RevBed_Tom&gt;=F7,"PLANT","STOP")</f>
        <v>PLANT</v>
      </c>
      <c r="I7" s="16" t="n">
        <v>1</v>
      </c>
      <c r="J7" s="11" t="n">
        <f aca="false">$I7*in_HrsWkBed_Car*in_WeeksSeason*(1+in_Dim_Car)^$I7</f>
        <v>30.75</v>
      </c>
      <c r="K7" s="11" t="n">
        <f aca="false">J7-IF($I7=1,0,J6)</f>
        <v>30.75</v>
      </c>
      <c r="L7" s="17" t="n">
        <f aca="false">MIN(J7,in_OwnerFieldHrs)*rate_Owner+MAX(0,J7-in_OwnerFieldHrs)*rate_Temp+in_Fert_Car*$I7</f>
        <v>1507.70833333333</v>
      </c>
      <c r="M7" s="17" t="n">
        <f aca="false">L7-IF($I7=1,0,L6)</f>
        <v>1507.70833333333</v>
      </c>
      <c r="N7" s="18" t="str">
        <f aca="false">IF(in_RevBed_Car&gt;=M7,"PLANT","STOP")</f>
        <v>PLANT</v>
      </c>
      <c r="P7" s="16" t="n">
        <v>1</v>
      </c>
      <c r="Q7" s="11" t="n">
        <f aca="false">$P7*in_HrsWkBed_Mes*in_WeeksSeason*(1+in_Dim_Mes)^$P7</f>
        <v>45.5625</v>
      </c>
      <c r="R7" s="11" t="n">
        <f aca="false">Q7-IF($P7=1,0,Q6)</f>
        <v>45.5625</v>
      </c>
      <c r="S7" s="17" t="n">
        <f aca="false">MIN(Q7,in_OwnerFieldHrs)*rate_Owner+MAX(0,Q7-in_OwnerFieldHrs)*rate_Temp+in_Fert_Mes*$P7</f>
        <v>2462.03125</v>
      </c>
      <c r="T7" s="17" t="n">
        <f aca="false">S7-IF($P7=1,0,S6)</f>
        <v>2462.03125</v>
      </c>
      <c r="U7" s="18" t="str">
        <f aca="false">IF(in_RevBed_Mes&gt;=T7,"PLANT","STOP")</f>
        <v>PLANT</v>
      </c>
    </row>
    <row r="8" customFormat="false" ht="15" hidden="false" customHeight="false" outlineLevel="0" collapsed="false">
      <c r="B8" s="19" t="n">
        <v>2</v>
      </c>
      <c r="C8" s="20" t="n">
        <f aca="false">$B8*in_HrsWkBed_Tom*in_WeeksSeason*(1+in_Dim_Tom)^$B8</f>
        <v>217.8</v>
      </c>
      <c r="D8" s="20" t="n">
        <f aca="false">C8-IF($B8=1,0,C7)</f>
        <v>118.8</v>
      </c>
      <c r="E8" s="21" t="n">
        <f aca="false">MIN(C8,in_OwnerFieldHrs)*rate_Owner+MAX(0,C8-in_OwnerFieldHrs)*rate_Temp+in_Fert_Tom*$B8</f>
        <v>9322.5</v>
      </c>
      <c r="F8" s="21" t="n">
        <f aca="false">E8-IF($B8=1,0,E7)</f>
        <v>5005</v>
      </c>
      <c r="G8" s="22" t="str">
        <f aca="false">IF(in_RevBed_Tom&gt;=F8,"PLANT","STOP")</f>
        <v>PLANT</v>
      </c>
      <c r="I8" s="19" t="n">
        <v>2</v>
      </c>
      <c r="J8" s="20" t="n">
        <f aca="false">$I8*in_HrsWkBed_Car*in_WeeksSeason*(1+in_Dim_Car)^$I8</f>
        <v>63.0375</v>
      </c>
      <c r="K8" s="20" t="n">
        <f aca="false">J8-IF($I8=1,0,J7)</f>
        <v>32.2875</v>
      </c>
      <c r="L8" s="21" t="n">
        <f aca="false">MIN(J8,in_OwnerFieldHrs)*rate_Owner+MAX(0,J8-in_OwnerFieldHrs)*rate_Temp+in_Fert_Car*$I8</f>
        <v>3068.80208333333</v>
      </c>
      <c r="M8" s="21" t="n">
        <f aca="false">L8-IF($I8=1,0,L7)</f>
        <v>1561.09375</v>
      </c>
      <c r="N8" s="22" t="str">
        <f aca="false">IF(in_RevBed_Car&gt;=M8,"PLANT","STOP")</f>
        <v>PLANT</v>
      </c>
      <c r="P8" s="19" t="n">
        <v>2</v>
      </c>
      <c r="Q8" s="20" t="n">
        <f aca="false">$P8*in_HrsWkBed_Mes*in_WeeksSeason*(1+in_Dim_Mes)^$P8</f>
        <v>92.2640625</v>
      </c>
      <c r="R8" s="20" t="n">
        <f aca="false">Q8-IF($P8=1,0,Q7)</f>
        <v>46.7015625</v>
      </c>
      <c r="S8" s="21" t="n">
        <f aca="false">MIN(Q8,in_OwnerFieldHrs)*rate_Owner+MAX(0,Q8-in_OwnerFieldHrs)*rate_Temp+in_Fert_Mes*$P8</f>
        <v>4963.61328125</v>
      </c>
      <c r="T8" s="21" t="n">
        <f aca="false">S8-IF($P8=1,0,S7)</f>
        <v>2501.58203125</v>
      </c>
      <c r="U8" s="22" t="str">
        <f aca="false">IF(in_RevBed_Mes&gt;=T8,"PLANT","STOP")</f>
        <v>PLANT</v>
      </c>
    </row>
    <row r="9" customFormat="false" ht="15" hidden="false" customHeight="false" outlineLevel="0" collapsed="false">
      <c r="B9" s="16" t="n">
        <v>3</v>
      </c>
      <c r="C9" s="11" t="n">
        <f aca="false">$B9*in_HrsWkBed_Tom*in_WeeksSeason*(1+in_Dim_Tom)^$B9</f>
        <v>359.37</v>
      </c>
      <c r="D9" s="11" t="n">
        <f aca="false">C9-IF($B9=1,0,C8)</f>
        <v>141.57</v>
      </c>
      <c r="E9" s="17" t="n">
        <f aca="false">MIN(C9,in_OwnerFieldHrs)*rate_Owner+MAX(0,C9-in_OwnerFieldHrs)*rate_Temp+in_Fert_Tom*$B9</f>
        <v>15118.125</v>
      </c>
      <c r="F9" s="17" t="n">
        <f aca="false">E9-IF($B9=1,0,E8)</f>
        <v>5795.625</v>
      </c>
      <c r="G9" s="18" t="str">
        <f aca="false">IF(in_RevBed_Tom&gt;=F9,"PLANT","STOP")</f>
        <v>PLANT</v>
      </c>
      <c r="I9" s="16" t="n">
        <v>3</v>
      </c>
      <c r="J9" s="11" t="n">
        <f aca="false">$I9*in_HrsWkBed_Car*in_WeeksSeason*(1+in_Dim_Car)^$I9</f>
        <v>96.92015625</v>
      </c>
      <c r="K9" s="11" t="n">
        <f aca="false">J9-IF($I9=1,0,J8)</f>
        <v>33.88265625</v>
      </c>
      <c r="L9" s="17" t="n">
        <f aca="false">MIN(J9,in_OwnerFieldHrs)*rate_Owner+MAX(0,J9-in_OwnerFieldHrs)*rate_Temp+in_Fert_Car*$I9</f>
        <v>4685.283203125</v>
      </c>
      <c r="M9" s="17" t="n">
        <f aca="false">L9-IF($I9=1,0,L8)</f>
        <v>1616.48111979167</v>
      </c>
      <c r="N9" s="18" t="str">
        <f aca="false">IF(in_RevBed_Car&gt;=M9,"PLANT","STOP")</f>
        <v>PLANT</v>
      </c>
      <c r="P9" s="16" t="n">
        <v>3</v>
      </c>
      <c r="Q9" s="11" t="n">
        <f aca="false">$P9*in_HrsWkBed_Mes*in_WeeksSeason*(1+in_Dim_Mes)^$P9</f>
        <v>140.126044921875</v>
      </c>
      <c r="R9" s="11" t="n">
        <f aca="false">Q9-IF($P9=1,0,Q8)</f>
        <v>47.861982421875</v>
      </c>
      <c r="S9" s="17" t="n">
        <f aca="false">MIN(Q9,in_OwnerFieldHrs)*rate_Owner+MAX(0,Q9-in_OwnerFieldHrs)*rate_Temp+in_Fert_Mes*$P9</f>
        <v>7505.48767089844</v>
      </c>
      <c r="T9" s="17" t="n">
        <f aca="false">S9-IF($P9=1,0,S8)</f>
        <v>2541.87438964844</v>
      </c>
      <c r="U9" s="18" t="str">
        <f aca="false">IF(in_RevBed_Mes&gt;=T9,"PLANT","STOP")</f>
        <v>PLANT</v>
      </c>
    </row>
    <row r="10" customFormat="false" ht="15" hidden="false" customHeight="false" outlineLevel="0" collapsed="false">
      <c r="B10" s="19" t="n">
        <v>4</v>
      </c>
      <c r="C10" s="20" t="n">
        <f aca="false">$B10*in_HrsWkBed_Tom*in_WeeksSeason*(1+in_Dim_Tom)^$B10</f>
        <v>527.076</v>
      </c>
      <c r="D10" s="20" t="n">
        <f aca="false">C10-IF($B10=1,0,C9)</f>
        <v>167.706</v>
      </c>
      <c r="E10" s="21" t="n">
        <f aca="false">MIN(C10,in_OwnerFieldHrs)*rate_Owner+MAX(0,C10-in_OwnerFieldHrs)*rate_Temp+in_Fert_Tom*$B10</f>
        <v>21821.25</v>
      </c>
      <c r="F10" s="21" t="n">
        <f aca="false">E10-IF($B10=1,0,E9)</f>
        <v>6703.125</v>
      </c>
      <c r="G10" s="22" t="str">
        <f aca="false">IF(in_RevBed_Tom&gt;=F10,"PLANT","STOP")</f>
        <v>PLANT</v>
      </c>
      <c r="I10" s="19" t="n">
        <v>4</v>
      </c>
      <c r="J10" s="20" t="n">
        <f aca="false">$I10*in_HrsWkBed_Car*in_WeeksSeason*(1+in_Dim_Car)^$I10</f>
        <v>132.457546875</v>
      </c>
      <c r="K10" s="20" t="n">
        <f aca="false">J10-IF($I10=1,0,J9)</f>
        <v>35.537390625</v>
      </c>
      <c r="L10" s="21" t="n">
        <f aca="false">MIN(J10,in_OwnerFieldHrs)*rate_Owner+MAX(0,J10-in_OwnerFieldHrs)*rate_Temp+in_Fert_Car*$I10</f>
        <v>6359.22037760416</v>
      </c>
      <c r="M10" s="21" t="n">
        <f aca="false">L10-IF($I10=1,0,L9)</f>
        <v>1673.93717447917</v>
      </c>
      <c r="N10" s="22" t="str">
        <f aca="false">IF(in_RevBed_Car&gt;=M10,"PLANT","STOP")</f>
        <v>PLANT</v>
      </c>
      <c r="P10" s="19" t="n">
        <v>4</v>
      </c>
      <c r="Q10" s="20" t="n">
        <f aca="false">$P10*in_HrsWkBed_Mes*in_WeeksSeason*(1+in_Dim_Mes)^$P10</f>
        <v>189.170160644531</v>
      </c>
      <c r="R10" s="20" t="n">
        <f aca="false">Q10-IF($P10=1,0,Q9)</f>
        <v>49.0441157226562</v>
      </c>
      <c r="S10" s="21" t="n">
        <f aca="false">MIN(Q10,in_OwnerFieldHrs)*rate_Owner+MAX(0,Q10-in_OwnerFieldHrs)*rate_Temp+in_Fert_Mes*$P10</f>
        <v>10088.4083557129</v>
      </c>
      <c r="T10" s="21" t="n">
        <f aca="false">S10-IF($P10=1,0,S9)</f>
        <v>2582.92068481445</v>
      </c>
      <c r="U10" s="22" t="str">
        <f aca="false">IF(in_RevBed_Mes&gt;=T10,"PLANT","STOP")</f>
        <v>PLANT</v>
      </c>
    </row>
    <row r="11" customFormat="false" ht="15" hidden="false" customHeight="false" outlineLevel="0" collapsed="false">
      <c r="B11" s="16" t="n">
        <v>5</v>
      </c>
      <c r="C11" s="11" t="n">
        <f aca="false">$B11*in_HrsWkBed_Tom*in_WeeksSeason*(1+in_Dim_Tom)^$B11</f>
        <v>724.7295</v>
      </c>
      <c r="D11" s="11" t="n">
        <f aca="false">C11-IF($B11=1,0,C10)</f>
        <v>197.6535</v>
      </c>
      <c r="E11" s="17" t="n">
        <f aca="false">MIN(C11,in_OwnerFieldHrs)*rate_Owner+MAX(0,C11-in_OwnerFieldHrs)*rate_Temp+in_Fert_Tom*$B11</f>
        <v>29482.109375</v>
      </c>
      <c r="F11" s="17" t="n">
        <f aca="false">E11-IF($B11=1,0,E10)</f>
        <v>7660.859375</v>
      </c>
      <c r="G11" s="18" t="str">
        <f aca="false">IF(in_RevBed_Tom&gt;=F11,"PLANT","STOP")</f>
        <v>PLANT</v>
      </c>
      <c r="I11" s="16" t="n">
        <v>5</v>
      </c>
      <c r="J11" s="11" t="n">
        <f aca="false">$I11*in_HrsWkBed_Car*in_WeeksSeason*(1+in_Dim_Car)^$I11</f>
        <v>169.711231933594</v>
      </c>
      <c r="K11" s="11" t="n">
        <f aca="false">J11-IF($I11=1,0,J10)</f>
        <v>37.2536850585937</v>
      </c>
      <c r="L11" s="17" t="n">
        <f aca="false">MIN(J11,in_OwnerFieldHrs)*rate_Owner+MAX(0,J11-in_OwnerFieldHrs)*rate_Temp+in_Fert_Car*$I11</f>
        <v>8092.75110880534</v>
      </c>
      <c r="M11" s="17" t="n">
        <f aca="false">L11-IF($I11=1,0,L10)</f>
        <v>1733.53073120117</v>
      </c>
      <c r="N11" s="18" t="str">
        <f aca="false">IF(in_RevBed_Car&gt;=M11,"PLANT","STOP")</f>
        <v>PLANT</v>
      </c>
      <c r="P11" s="16" t="n">
        <v>5</v>
      </c>
      <c r="Q11" s="11" t="n">
        <f aca="false">$P11*in_HrsWkBed_Mes*in_WeeksSeason*(1+in_Dim_Mes)^$P11</f>
        <v>239.418484565735</v>
      </c>
      <c r="R11" s="11" t="n">
        <f aca="false">Q11-IF($P11=1,0,Q10)</f>
        <v>50.2483239212036</v>
      </c>
      <c r="S11" s="17" t="n">
        <f aca="false">MIN(Q11,in_OwnerFieldHrs)*rate_Owner+MAX(0,Q11-in_OwnerFieldHrs)*rate_Temp+in_Fert_Mes*$P11</f>
        <v>12713.1418251991</v>
      </c>
      <c r="T11" s="17" t="n">
        <f aca="false">S11-IF($P11=1,0,S10)</f>
        <v>2624.73346948624</v>
      </c>
      <c r="U11" s="18" t="str">
        <f aca="false">IF(in_RevBed_Mes&gt;=T11,"PLANT","STOP")</f>
        <v>PLANT</v>
      </c>
    </row>
    <row r="12" customFormat="false" ht="15" hidden="false" customHeight="false" outlineLevel="0" collapsed="false">
      <c r="B12" s="19" t="n">
        <v>6</v>
      </c>
      <c r="C12" s="20" t="n">
        <f aca="false">$B12*in_HrsWkBed_Tom*in_WeeksSeason*(1+in_Dim_Tom)^$B12</f>
        <v>956.64294</v>
      </c>
      <c r="D12" s="20" t="n">
        <f aca="false">C12-IF($B12=1,0,C11)</f>
        <v>231.91344</v>
      </c>
      <c r="E12" s="21" t="n">
        <f aca="false">MIN(C12,in_OwnerFieldHrs)*rate_Owner+MAX(0,C12-in_OwnerFieldHrs)*rate_Temp+in_Fert_Tom*$B12</f>
        <v>34388.384375</v>
      </c>
      <c r="F12" s="21" t="n">
        <f aca="false">E12-IF($B12=1,0,E11)</f>
        <v>4906.27500000001</v>
      </c>
      <c r="G12" s="22" t="str">
        <f aca="false">IF(in_RevBed_Tom&gt;=F12,"PLANT","STOP")</f>
        <v>PLANT</v>
      </c>
      <c r="I12" s="19" t="n">
        <v>6</v>
      </c>
      <c r="J12" s="20" t="n">
        <f aca="false">$I12*in_HrsWkBed_Car*in_WeeksSeason*(1+in_Dim_Car)^$I12</f>
        <v>208.74481527832</v>
      </c>
      <c r="K12" s="20" t="n">
        <f aca="false">J12-IF($I12=1,0,J11)</f>
        <v>39.0335833447265</v>
      </c>
      <c r="L12" s="21" t="n">
        <f aca="false">MIN(J12,in_OwnerFieldHrs)*rate_Owner+MAX(0,J12-in_OwnerFieldHrs)*rate_Temp+in_Fert_Car*$I12</f>
        <v>9888.08386383056</v>
      </c>
      <c r="M12" s="21" t="n">
        <f aca="false">L12-IF($I12=1,0,L11)</f>
        <v>1795.33275502523</v>
      </c>
      <c r="N12" s="22" t="str">
        <f aca="false">IF(in_RevBed_Car&gt;=M12,"PLANT","STOP")</f>
        <v>PLANT</v>
      </c>
      <c r="P12" s="19" t="n">
        <v>6</v>
      </c>
      <c r="Q12" s="20" t="n">
        <f aca="false">$P12*in_HrsWkBed_Mes*in_WeeksSeason*(1+in_Dim_Mes)^$P12</f>
        <v>290.893458747368</v>
      </c>
      <c r="R12" s="20" t="n">
        <f aca="false">Q12-IF($P12=1,0,Q11)</f>
        <v>51.4749741816329</v>
      </c>
      <c r="S12" s="21" t="n">
        <f aca="false">MIN(Q12,in_OwnerFieldHrs)*rate_Owner+MAX(0,Q12-in_OwnerFieldHrs)*rate_Temp+in_Fert_Mes*$P12</f>
        <v>15380.4673176169</v>
      </c>
      <c r="T12" s="21" t="n">
        <f aca="false">S12-IF($P12=1,0,S11)</f>
        <v>2667.32549241781</v>
      </c>
      <c r="U12" s="22" t="str">
        <f aca="false">IF(in_RevBed_Mes&gt;=T12,"PLANT","STOP")</f>
        <v>PLANT</v>
      </c>
    </row>
    <row r="13" customFormat="false" ht="15" hidden="false" customHeight="false" outlineLevel="0" collapsed="false">
      <c r="B13" s="16" t="n">
        <v>7</v>
      </c>
      <c r="C13" s="11" t="n">
        <f aca="false">$B13*in_HrsWkBed_Tom*in_WeeksSeason*(1+in_Dim_Tom)^$B13</f>
        <v>1227.691773</v>
      </c>
      <c r="D13" s="11" t="n">
        <f aca="false">C13-IF($B13=1,0,C12)</f>
        <v>271.048833</v>
      </c>
      <c r="E13" s="17" t="n">
        <f aca="false">MIN(C13,in_OwnerFieldHrs)*rate_Owner+MAX(0,C13-in_OwnerFieldHrs)*rate_Temp+in_Fert_Tom*$B13</f>
        <v>39974.09328125</v>
      </c>
      <c r="F13" s="17" t="n">
        <f aca="false">E13-IF($B13=1,0,E12)</f>
        <v>5585.70890625</v>
      </c>
      <c r="G13" s="18" t="str">
        <f aca="false">IF(in_RevBed_Tom&gt;=F13,"PLANT","STOP")</f>
        <v>PLANT</v>
      </c>
      <c r="I13" s="16" t="n">
        <v>7</v>
      </c>
      <c r="J13" s="11" t="n">
        <f aca="false">$I13*in_HrsWkBed_Car*in_WeeksSeason*(1+in_Dim_Car)^$I13</f>
        <v>249.624008270325</v>
      </c>
      <c r="K13" s="11" t="n">
        <f aca="false">J13-IF($I13=1,0,J12)</f>
        <v>40.8791929920044</v>
      </c>
      <c r="L13" s="17" t="n">
        <f aca="false">MIN(J13,in_OwnerFieldHrs)*rate_Owner+MAX(0,J13-in_OwnerFieldHrs)*rate_Temp+in_Fert_Car*$I13</f>
        <v>11747.5002871641</v>
      </c>
      <c r="M13" s="17" t="n">
        <f aca="false">L13-IF($I13=1,0,L12)</f>
        <v>1859.41642333349</v>
      </c>
      <c r="N13" s="18" t="str">
        <f aca="false">IF(in_RevBed_Car&gt;=M13,"PLANT","STOP")</f>
        <v>PLANT</v>
      </c>
      <c r="P13" s="16" t="n">
        <v>7</v>
      </c>
      <c r="Q13" s="11" t="n">
        <f aca="false">$P13*in_HrsWkBed_Mes*in_WeeksSeason*(1+in_Dim_Mes)^$P13</f>
        <v>343.617898145328</v>
      </c>
      <c r="R13" s="11" t="n">
        <f aca="false">Q13-IF($P13=1,0,Q12)</f>
        <v>52.7244393979605</v>
      </c>
      <c r="S13" s="17" t="n">
        <f aca="false">MIN(Q13,in_OwnerFieldHrs)*rate_Owner+MAX(0,Q13-in_OwnerFieldHrs)*rate_Temp+in_Fert_Mes*$P13</f>
        <v>18091.177018935</v>
      </c>
      <c r="T13" s="17" t="n">
        <f aca="false">S13-IF($P13=1,0,S12)</f>
        <v>2710.70970131807</v>
      </c>
      <c r="U13" s="18" t="str">
        <f aca="false">IF(in_RevBed_Mes&gt;=T13,"PLANT","STOP")</f>
        <v>STOP</v>
      </c>
    </row>
    <row r="14" customFormat="false" ht="15" hidden="false" customHeight="false" outlineLevel="0" collapsed="false">
      <c r="B14" s="19" t="n">
        <v>8</v>
      </c>
      <c r="C14" s="20" t="n">
        <f aca="false">$B14*in_HrsWkBed_Tom*in_WeeksSeason*(1+in_Dim_Tom)^$B14</f>
        <v>1543.3839432</v>
      </c>
      <c r="D14" s="20" t="n">
        <f aca="false">C14-IF($B14=1,0,C13)</f>
        <v>315.6921702</v>
      </c>
      <c r="E14" s="21" t="n">
        <f aca="false">MIN(C14,in_OwnerFieldHrs)*rate_Owner+MAX(0,C14-in_OwnerFieldHrs)*rate_Temp+in_Fert_Tom*$B14</f>
        <v>46334.860125</v>
      </c>
      <c r="F14" s="21" t="n">
        <f aca="false">E14-IF($B14=1,0,E13)</f>
        <v>6360.76684375001</v>
      </c>
      <c r="G14" s="22" t="str">
        <f aca="false">IF(in_RevBed_Tom&gt;=F14,"PLANT","STOP")</f>
        <v>PLANT</v>
      </c>
      <c r="I14" s="19" t="n">
        <v>8</v>
      </c>
      <c r="J14" s="20" t="n">
        <f aca="false">$I14*in_HrsWkBed_Car*in_WeeksSeason*(1+in_Dim_Car)^$I14</f>
        <v>292.41669540238</v>
      </c>
      <c r="K14" s="20" t="n">
        <f aca="false">J14-IF($I14=1,0,J13)</f>
        <v>42.7926871320555</v>
      </c>
      <c r="L14" s="21" t="n">
        <f aca="false">MIN(J14,in_OwnerFieldHrs)*rate_Owner+MAX(0,J14-in_OwnerFieldHrs)*rate_Temp+in_Fert_Car*$I14</f>
        <v>13673.3574792493</v>
      </c>
      <c r="M14" s="21" t="n">
        <f aca="false">L14-IF($I14=1,0,L13)</f>
        <v>1925.85719208526</v>
      </c>
      <c r="N14" s="22" t="str">
        <f aca="false">IF(in_RevBed_Car&gt;=M14,"PLANT","STOP")</f>
        <v>PLANT</v>
      </c>
      <c r="P14" s="19" t="n">
        <v>8</v>
      </c>
      <c r="Q14" s="20" t="n">
        <f aca="false">$P14*in_HrsWkBed_Mes*in_WeeksSeason*(1+in_Dim_Mes)^$P14</f>
        <v>397.614996425308</v>
      </c>
      <c r="R14" s="20" t="n">
        <f aca="false">Q14-IF($P14=1,0,Q13)</f>
        <v>53.9970982799802</v>
      </c>
      <c r="S14" s="21" t="n">
        <f aca="false">MIN(Q14,in_OwnerFieldHrs)*rate_Owner+MAX(0,Q14-in_OwnerFieldHrs)*rate_Temp+in_Fert_Mes*$P14</f>
        <v>20846.0762647677</v>
      </c>
      <c r="T14" s="21" t="n">
        <f aca="false">S14-IF($P14=1,0,S13)</f>
        <v>2754.89924583264</v>
      </c>
      <c r="U14" s="22" t="str">
        <f aca="false">IF(in_RevBed_Mes&gt;=T14,"PLANT","STOP")</f>
        <v>STOP</v>
      </c>
    </row>
    <row r="15" customFormat="false" ht="15" hidden="false" customHeight="false" outlineLevel="0" collapsed="false">
      <c r="B15" s="16" t="n">
        <v>9</v>
      </c>
      <c r="C15" s="11" t="n">
        <f aca="false">$B15*in_HrsWkBed_Tom*in_WeeksSeason*(1+in_Dim_Tom)^$B15</f>
        <v>1909.93762971</v>
      </c>
      <c r="D15" s="11" t="n">
        <f aca="false">C15-IF($B15=1,0,C14)</f>
        <v>366.553686510001</v>
      </c>
      <c r="E15" s="17" t="n">
        <f aca="false">MIN(C15,in_OwnerFieldHrs)*rate_Owner+MAX(0,C15-in_OwnerFieldHrs)*rate_Temp+in_Fert_Tom*$B15</f>
        <v>53578.6394046875</v>
      </c>
      <c r="F15" s="17" t="n">
        <f aca="false">E15-IF($B15=1,0,E14)</f>
        <v>7243.77927968751</v>
      </c>
      <c r="G15" s="18" t="str">
        <f aca="false">IF(in_RevBed_Tom&gt;=F15,"PLANT","STOP")</f>
        <v>PLANT</v>
      </c>
      <c r="I15" s="16" t="n">
        <v>9</v>
      </c>
      <c r="J15" s="11" t="n">
        <f aca="false">$I15*in_HrsWkBed_Car*in_WeeksSeason*(1+in_Dim_Car)^$I15</f>
        <v>337.19300188587</v>
      </c>
      <c r="K15" s="11" t="n">
        <f aca="false">J15-IF($I15=1,0,J14)</f>
        <v>44.7763064834895</v>
      </c>
      <c r="L15" s="17" t="n">
        <f aca="false">MIN(J15,in_OwnerFieldHrs)*rate_Owner+MAX(0,J15-in_OwnerFieldHrs)*rate_Temp+in_Fert_Car*$I15</f>
        <v>15668.0903432594</v>
      </c>
      <c r="M15" s="17" t="n">
        <f aca="false">L15-IF($I15=1,0,L14)</f>
        <v>1994.73286401005</v>
      </c>
      <c r="N15" s="18" t="str">
        <f aca="false">IF(in_RevBed_Car&gt;=M15,"PLANT","STOP")</f>
        <v>PLANT</v>
      </c>
      <c r="P15" s="16" t="n">
        <v>9</v>
      </c>
      <c r="Q15" s="11" t="n">
        <f aca="false">$P15*in_HrsWkBed_Mes*in_WeeksSeason*(1+in_Dim_Mes)^$P15</f>
        <v>452.908331865703</v>
      </c>
      <c r="R15" s="11" t="n">
        <f aca="false">Q15-IF($P15=1,0,Q14)</f>
        <v>55.2933354403944</v>
      </c>
      <c r="S15" s="17" t="n">
        <f aca="false">MIN(Q15,in_OwnerFieldHrs)*rate_Owner+MAX(0,Q15-in_OwnerFieldHrs)*rate_Temp+in_Fert_Mes*$P15</f>
        <v>23645.9837453369</v>
      </c>
      <c r="T15" s="17" t="n">
        <f aca="false">S15-IF($P15=1,0,S14)</f>
        <v>2799.90748056925</v>
      </c>
      <c r="U15" s="18" t="str">
        <f aca="false">IF(in_RevBed_Mes&gt;=T15,"PLANT","STOP")</f>
        <v>STOP</v>
      </c>
    </row>
    <row r="16" customFormat="false" ht="15" hidden="false" customHeight="false" outlineLevel="0" collapsed="false">
      <c r="B16" s="19" t="n">
        <v>10</v>
      </c>
      <c r="C16" s="20" t="n">
        <f aca="false">$B16*in_HrsWkBed_Tom*in_WeeksSeason*(1+in_Dim_Tom)^$B16</f>
        <v>2334.36821409</v>
      </c>
      <c r="D16" s="20" t="n">
        <f aca="false">C16-IF($B16=1,0,C15)</f>
        <v>424.43058438</v>
      </c>
      <c r="E16" s="21" t="n">
        <f aca="false">MIN(C16,in_OwnerFieldHrs)*rate_Owner+MAX(0,C16-in_OwnerFieldHrs)*rate_Temp+in_Fert_Tom*$B16</f>
        <v>61827.2259390625</v>
      </c>
      <c r="F16" s="21" t="n">
        <f aca="false">E16-IF($B16=1,0,E15)</f>
        <v>8248.58653437501</v>
      </c>
      <c r="G16" s="22" t="str">
        <f aca="false">IF(in_RevBed_Tom&gt;=F16,"PLANT","STOP")</f>
        <v>PLANT</v>
      </c>
      <c r="I16" s="19" t="n">
        <v>10</v>
      </c>
      <c r="J16" s="20" t="n">
        <f aca="false">$I16*in_HrsWkBed_Car*in_WeeksSeason*(1+in_Dim_Car)^$I16</f>
        <v>384.025363258907</v>
      </c>
      <c r="K16" s="20" t="n">
        <f aca="false">J16-IF($I16=1,0,J15)</f>
        <v>46.8323613730374</v>
      </c>
      <c r="L16" s="21" t="n">
        <f aca="false">MIN(J16,in_OwnerFieldHrs)*rate_Owner+MAX(0,J16-in_OwnerFieldHrs)*rate_Temp+in_Fert_Car*$I16</f>
        <v>17734.2140020454</v>
      </c>
      <c r="M16" s="21" t="n">
        <f aca="false">L16-IF($I16=1,0,L15)</f>
        <v>2066.12365878602</v>
      </c>
      <c r="N16" s="22" t="str">
        <f aca="false">IF(in_RevBed_Car&gt;=M16,"PLANT","STOP")</f>
        <v>PLANT</v>
      </c>
      <c r="P16" s="19" t="n">
        <v>10</v>
      </c>
      <c r="Q16" s="20" t="n">
        <f aca="false">$P16*in_HrsWkBed_Mes*in_WeeksSeason*(1+in_Dim_Mes)^$P16</f>
        <v>509.521873348916</v>
      </c>
      <c r="R16" s="20" t="n">
        <f aca="false">Q16-IF($P16=1,0,Q15)</f>
        <v>56.6135414832128</v>
      </c>
      <c r="S16" s="21" t="n">
        <f aca="false">MIN(Q16,in_OwnerFieldHrs)*rate_Owner+MAX(0,Q16-in_OwnerFieldHrs)*rate_Temp+in_Fert_Mes*$P16</f>
        <v>26491.731713504</v>
      </c>
      <c r="T16" s="21" t="n">
        <f aca="false">S16-IF($P16=1,0,S15)</f>
        <v>2845.74796816711</v>
      </c>
      <c r="U16" s="22" t="str">
        <f aca="false">IF(in_RevBed_Mes&gt;=T16,"PLANT","STOP")</f>
        <v>STOP</v>
      </c>
    </row>
    <row r="17" customFormat="false" ht="15" hidden="false" customHeight="false" outlineLevel="0" collapsed="false">
      <c r="B17" s="16" t="n">
        <v>11</v>
      </c>
      <c r="C17" s="11" t="n">
        <f aca="false">$B17*in_HrsWkBed_Tom*in_WeeksSeason*(1+in_Dim_Tom)^$B17</f>
        <v>2824.5855390489</v>
      </c>
      <c r="D17" s="11" t="n">
        <f aca="false">C17-IF($B17=1,0,C16)</f>
        <v>490.2173249589</v>
      </c>
      <c r="E17" s="17" t="n">
        <f aca="false">MIN(C17,in_OwnerFieldHrs)*rate_Owner+MAX(0,C17-in_OwnerFieldHrs)*rate_Temp+in_Fert_Tom*$B17</f>
        <v>71217.9433862657</v>
      </c>
      <c r="F17" s="17" t="n">
        <f aca="false">E17-IF($B17=1,0,E16)</f>
        <v>9390.71744720313</v>
      </c>
      <c r="G17" s="18" t="str">
        <f aca="false">IF(in_RevBed_Tom&gt;=F17,"PLANT","STOP")</f>
        <v>STOP</v>
      </c>
      <c r="I17" s="16" t="n">
        <v>11</v>
      </c>
      <c r="J17" s="11" t="n">
        <f aca="false">$I17*in_HrsWkBed_Car*in_WeeksSeason*(1+in_Dim_Car)^$I17</f>
        <v>432.988597074418</v>
      </c>
      <c r="K17" s="11" t="n">
        <f aca="false">J17-IF($I17=1,0,J16)</f>
        <v>48.9632338155107</v>
      </c>
      <c r="L17" s="17" t="n">
        <f aca="false">MIN(J17,in_OwnerFieldHrs)*rate_Owner+MAX(0,J17-in_OwnerFieldHrs)*rate_Temp+in_Fert_Car*$I17</f>
        <v>19874.3262873062</v>
      </c>
      <c r="M17" s="17" t="n">
        <f aca="false">L17-IF($I17=1,0,L16)</f>
        <v>2140.11228526079</v>
      </c>
      <c r="N17" s="18" t="str">
        <f aca="false">IF(in_RevBed_Car&gt;=M17,"PLANT","STOP")</f>
        <v>STOP</v>
      </c>
      <c r="P17" s="16" t="n">
        <v>11</v>
      </c>
      <c r="Q17" s="11" t="n">
        <f aca="false">$P17*in_HrsWkBed_Mes*in_WeeksSeason*(1+in_Dim_Mes)^$P17</f>
        <v>567.479986442355</v>
      </c>
      <c r="R17" s="11" t="n">
        <f aca="false">Q17-IF($P17=1,0,Q16)</f>
        <v>57.9581130934391</v>
      </c>
      <c r="S17" s="17" t="n">
        <f aca="false">MIN(Q17,in_OwnerFieldHrs)*rate_Owner+MAX(0,Q17-in_OwnerFieldHrs)*rate_Temp+in_Fert_Mes*$P17</f>
        <v>29384.1661959151</v>
      </c>
      <c r="T17" s="17" t="n">
        <f aca="false">S17-IF($P17=1,0,S16)</f>
        <v>2892.43448241108</v>
      </c>
      <c r="U17" s="18" t="str">
        <f aca="false">IF(in_RevBed_Mes&gt;=T17,"PLANT","STOP")</f>
        <v>STOP</v>
      </c>
    </row>
    <row r="18" customFormat="false" ht="15" hidden="false" customHeight="false" outlineLevel="0" collapsed="false">
      <c r="B18" s="19" t="n">
        <v>12</v>
      </c>
      <c r="C18" s="20" t="n">
        <f aca="false">$B18*in_HrsWkBed_Tom*in_WeeksSeason*(1+in_Dim_Tom)^$B18</f>
        <v>3389.50264685868</v>
      </c>
      <c r="D18" s="20" t="n">
        <f aca="false">C18-IF($B18=1,0,C17)</f>
        <v>564.917107809781</v>
      </c>
      <c r="E18" s="21" t="n">
        <f aca="false">MIN(C18,in_OwnerFieldHrs)*rate_Owner+MAX(0,C18-in_OwnerFieldHrs)*rate_Temp+in_Fert_Tom*$B18</f>
        <v>81905.5320635188</v>
      </c>
      <c r="F18" s="21" t="n">
        <f aca="false">E18-IF($B18=1,0,E17)</f>
        <v>10687.5886772532</v>
      </c>
      <c r="G18" s="22" t="str">
        <f aca="false">IF(in_RevBed_Tom&gt;=F18,"PLANT","STOP")</f>
        <v>STOP</v>
      </c>
      <c r="I18" s="19" t="n">
        <v>12</v>
      </c>
      <c r="J18" s="20" t="n">
        <f aca="false">$I18*in_HrsWkBed_Car*in_WeeksSeason*(1+in_Dim_Car)^$I18</f>
        <v>484.159976728667</v>
      </c>
      <c r="K18" s="20" t="n">
        <f aca="false">J18-IF($I18=1,0,J17)</f>
        <v>51.1713796542492</v>
      </c>
      <c r="L18" s="21" t="n">
        <f aca="false">MIN(J18,in_OwnerFieldHrs)*rate_Owner+MAX(0,J18-in_OwnerFieldHrs)*rate_Temp+in_Fert_Car*$I18</f>
        <v>22091.1103030787</v>
      </c>
      <c r="M18" s="21" t="n">
        <f aca="false">L18-IF($I18=1,0,L17)</f>
        <v>2216.78401577254</v>
      </c>
      <c r="N18" s="22" t="str">
        <f aca="false">IF(in_RevBed_Car&gt;=M18,"PLANT","STOP")</f>
        <v>STOP</v>
      </c>
      <c r="P18" s="19" t="n">
        <v>12</v>
      </c>
      <c r="Q18" s="20" t="n">
        <f aca="false">$P18*in_HrsWkBed_Mes*in_WeeksSeason*(1+in_Dim_Mes)^$P18</f>
        <v>626.807439570419</v>
      </c>
      <c r="R18" s="20" t="n">
        <f aca="false">Q18-IF($P18=1,0,Q17)</f>
        <v>59.3274531280644</v>
      </c>
      <c r="S18" s="21" t="n">
        <f aca="false">MIN(Q18,in_OwnerFieldHrs)*rate_Owner+MAX(0,Q18-in_OwnerFieldHrs)*rate_Temp+in_Fert_Mes*$P18</f>
        <v>32324.1472073062</v>
      </c>
      <c r="T18" s="21" t="n">
        <f aca="false">S18-IF($P18=1,0,S17)</f>
        <v>2939.98101139112</v>
      </c>
      <c r="U18" s="22" t="str">
        <f aca="false">IF(in_RevBed_Mes&gt;=T18,"PLANT","STOP")</f>
        <v>STOP</v>
      </c>
    </row>
    <row r="19" customFormat="false" ht="15" hidden="false" customHeight="false" outlineLevel="0" collapsed="false">
      <c r="B19" s="16" t="n">
        <v>13</v>
      </c>
      <c r="C19" s="11" t="n">
        <f aca="false">$B19*in_HrsWkBed_Tom*in_WeeksSeason*(1+in_Dim_Tom)^$B19</f>
        <v>4039.15732083993</v>
      </c>
      <c r="D19" s="11" t="n">
        <f aca="false">C19-IF($B19=1,0,C18)</f>
        <v>649.654673981248</v>
      </c>
      <c r="E19" s="17" t="n">
        <f aca="false">MIN(C19,in_OwnerFieldHrs)*rate_Owner+MAX(0,C19-in_OwnerFieldHrs)*rate_Temp+in_Fert_Tom*$B19</f>
        <v>94064.2590423599</v>
      </c>
      <c r="F19" s="17" t="n">
        <f aca="false">E19-IF($B19=1,0,E18)</f>
        <v>12158.7269788411</v>
      </c>
      <c r="G19" s="18" t="str">
        <f aca="false">IF(in_RevBed_Tom&gt;=F19,"PLANT","STOP")</f>
        <v>STOP</v>
      </c>
      <c r="I19" s="16" t="n">
        <v>13</v>
      </c>
      <c r="J19" s="11" t="n">
        <f aca="false">$I19*in_HrsWkBed_Car*in_WeeksSeason*(1+in_Dim_Car)^$I19</f>
        <v>537.619307492457</v>
      </c>
      <c r="K19" s="11" t="n">
        <f aca="false">J19-IF($I19=1,0,J18)</f>
        <v>53.4593307637902</v>
      </c>
      <c r="L19" s="17" t="n">
        <f aca="false">MIN(J19,in_OwnerFieldHrs)*rate_Owner+MAX(0,J19-in_OwnerFieldHrs)*rate_Temp+in_Fert_Car*$I19</f>
        <v>24387.3370657103</v>
      </c>
      <c r="M19" s="17" t="n">
        <f aca="false">L19-IF($I19=1,0,L18)</f>
        <v>2296.2267626316</v>
      </c>
      <c r="N19" s="18" t="str">
        <f aca="false">IF(in_RevBed_Car&gt;=M19,"PLANT","STOP")</f>
        <v>STOP</v>
      </c>
      <c r="P19" s="16" t="n">
        <v>13</v>
      </c>
      <c r="Q19" s="11" t="n">
        <f aca="false">$P19*in_HrsWkBed_Mes*in_WeeksSeason*(1+in_Dim_Mes)^$P19</f>
        <v>687.529410278803</v>
      </c>
      <c r="R19" s="11" t="n">
        <f aca="false">Q19-IF($P19=1,0,Q18)</f>
        <v>60.7219707083843</v>
      </c>
      <c r="S19" s="17" t="n">
        <f aca="false">MIN(Q19,in_OwnerFieldHrs)*rate_Owner+MAX(0,Q19-in_OwnerFieldHrs)*rate_Temp+in_Fert_Mes*$P19</f>
        <v>35312.548968014</v>
      </c>
      <c r="T19" s="17" t="n">
        <f aca="false">S19-IF($P19=1,0,S18)</f>
        <v>2988.40176070779</v>
      </c>
      <c r="U19" s="18" t="str">
        <f aca="false">IF(in_RevBed_Mes&gt;=T19,"PLANT","STOP")</f>
        <v>STOP</v>
      </c>
    </row>
    <row r="20" customFormat="false" ht="15" hidden="false" customHeight="false" outlineLevel="0" collapsed="false">
      <c r="B20" s="19" t="n">
        <v>14</v>
      </c>
      <c r="C20" s="20" t="n">
        <f aca="false">$B20*in_HrsWkBed_Tom*in_WeeksSeason*(1+in_Dim_Tom)^$B20</f>
        <v>4784.84790314884</v>
      </c>
      <c r="D20" s="20" t="n">
        <f aca="false">C20-IF($B20=1,0,C19)</f>
        <v>745.690582308911</v>
      </c>
      <c r="E20" s="21" t="n">
        <f aca="false">MIN(C20,in_OwnerFieldHrs)*rate_Owner+MAX(0,C20-in_OwnerFieldHrs)*rate_Temp+in_Fert_Tom*$B20</f>
        <v>107890.276096334</v>
      </c>
      <c r="F20" s="21" t="n">
        <f aca="false">E20-IF($B20=1,0,E19)</f>
        <v>13826.0170539742</v>
      </c>
      <c r="G20" s="22" t="str">
        <f aca="false">IF(in_RevBed_Tom&gt;=F20,"PLANT","STOP")</f>
        <v>STOP</v>
      </c>
      <c r="I20" s="19" t="n">
        <v>14</v>
      </c>
      <c r="J20" s="20" t="n">
        <f aca="false">$I20*in_HrsWkBed_Car*in_WeeksSeason*(1+in_Dim_Car)^$I20</f>
        <v>593.449004808982</v>
      </c>
      <c r="K20" s="20" t="n">
        <f aca="false">J20-IF($I20=1,0,J19)</f>
        <v>55.8296973165245</v>
      </c>
      <c r="L20" s="21" t="n">
        <f aca="false">MIN(J20,in_OwnerFieldHrs)*rate_Owner+MAX(0,J20-in_OwnerFieldHrs)*rate_Temp+in_Fert_Car*$I20</f>
        <v>26765.8682225341</v>
      </c>
      <c r="M20" s="21" t="n">
        <f aca="false">L20-IF($I20=1,0,L19)</f>
        <v>2378.53115682377</v>
      </c>
      <c r="N20" s="22" t="str">
        <f aca="false">IF(in_RevBed_Car&gt;=M20,"PLANT","STOP")</f>
        <v>STOP</v>
      </c>
      <c r="P20" s="19" t="n">
        <v>14</v>
      </c>
      <c r="Q20" s="20" t="n">
        <f aca="false">$P20*in_HrsWkBed_Mes*in_WeeksSeason*(1+in_Dim_Mes)^$P20</f>
        <v>749.671491592464</v>
      </c>
      <c r="R20" s="20" t="n">
        <f aca="false">Q20-IF($P20=1,0,Q19)</f>
        <v>62.142081313661</v>
      </c>
      <c r="S20" s="21" t="n">
        <f aca="false">MIN(Q20,in_OwnerFieldHrs)*rate_Owner+MAX(0,Q20-in_OwnerFieldHrs)*rate_Temp+in_Fert_Mes*$P20</f>
        <v>37835.1300623692</v>
      </c>
      <c r="T20" s="21" t="n">
        <f aca="false">S20-IF($P20=1,0,S19)</f>
        <v>2522.58109435517</v>
      </c>
      <c r="U20" s="22" t="str">
        <f aca="false">IF(in_RevBed_Mes&gt;=T20,"PLANT","STOP")</f>
        <v>PLANT</v>
      </c>
    </row>
    <row r="21" customFormat="false" ht="15" hidden="false" customHeight="false" outlineLevel="0" collapsed="false">
      <c r="B21" s="16" t="n">
        <v>15</v>
      </c>
      <c r="C21" s="11" t="n">
        <f aca="false">$B21*in_HrsWkBed_Tom*in_WeeksSeason*(1+in_Dim_Tom)^$B21</f>
        <v>5639.28502871114</v>
      </c>
      <c r="D21" s="11" t="n">
        <f aca="false">C21-IF($B21=1,0,C20)</f>
        <v>854.437125562294</v>
      </c>
      <c r="E21" s="17" t="n">
        <f aca="false">MIN(C21,in_OwnerFieldHrs)*rate_Owner+MAX(0,C21-in_OwnerFieldHrs)*rate_Temp+in_Fert_Tom*$B21</f>
        <v>123604.253970679</v>
      </c>
      <c r="F21" s="17" t="n">
        <f aca="false">E21-IF($B21=1,0,E20)</f>
        <v>15713.9778743454</v>
      </c>
      <c r="G21" s="18" t="str">
        <f aca="false">IF(in_RevBed_Tom&gt;=F21,"PLANT","STOP")</f>
        <v>STOP</v>
      </c>
      <c r="I21" s="16" t="n">
        <v>15</v>
      </c>
      <c r="J21" s="11" t="n">
        <f aca="false">$I21*in_HrsWkBed_Car*in_WeeksSeason*(1+in_Dim_Car)^$I21</f>
        <v>651.734174924149</v>
      </c>
      <c r="K21" s="11" t="n">
        <f aca="false">J21-IF($I21=1,0,J20)</f>
        <v>58.2851701151677</v>
      </c>
      <c r="L21" s="17" t="n">
        <f aca="false">MIN(J21,in_OwnerFieldHrs)*rate_Owner+MAX(0,J21-in_OwnerFieldHrs)*rate_Temp+in_Fert_Car*$I21</f>
        <v>29229.658851533</v>
      </c>
      <c r="M21" s="17" t="n">
        <f aca="false">L21-IF($I21=1,0,L20)</f>
        <v>2463.79062899888</v>
      </c>
      <c r="N21" s="18" t="str">
        <f aca="false">IF(in_RevBed_Car&gt;=M21,"PLANT","STOP")</f>
        <v>STOP</v>
      </c>
      <c r="P21" s="16" t="n">
        <v>15</v>
      </c>
      <c r="Q21" s="11" t="n">
        <f aca="false">$P21*in_HrsWkBed_Mes*in_WeeksSeason*(1+in_Dim_Mes)^$P21</f>
        <v>813.259698468611</v>
      </c>
      <c r="R21" s="11" t="n">
        <f aca="false">Q21-IF($P21=1,0,Q20)</f>
        <v>63.5882068761464</v>
      </c>
      <c r="S21" s="17" t="n">
        <f aca="false">MIN(Q21,in_OwnerFieldHrs)*rate_Owner+MAX(0,Q21-in_OwnerFieldHrs)*rate_Temp+in_Fert_Mes*$P21</f>
        <v>39819.0919873023</v>
      </c>
      <c r="T21" s="17" t="n">
        <f aca="false">S21-IF($P21=1,0,S20)</f>
        <v>1983.96192493309</v>
      </c>
      <c r="U21" s="18" t="str">
        <f aca="false">IF(in_RevBed_Mes&gt;=T21,"PLANT","STOP")</f>
        <v>PLANT</v>
      </c>
    </row>
    <row r="22" customFormat="false" ht="15" hidden="false" customHeight="false" outlineLevel="0" collapsed="false">
      <c r="B22" s="19" t="n">
        <v>16</v>
      </c>
      <c r="C22" s="20" t="n">
        <f aca="false">$B22*in_HrsWkBed_Tom*in_WeeksSeason*(1+in_Dim_Tom)^$B22</f>
        <v>6616.7611003544</v>
      </c>
      <c r="D22" s="20" t="n">
        <f aca="false">C22-IF($B22=1,0,C21)</f>
        <v>977.476071643264</v>
      </c>
      <c r="E22" s="21" t="n">
        <f aca="false">MIN(C22,in_OwnerFieldHrs)*rate_Owner+MAX(0,C22-in_OwnerFieldHrs)*rate_Temp+in_Fert_Tom*$B22</f>
        <v>141454.324658931</v>
      </c>
      <c r="F22" s="21" t="n">
        <f aca="false">E22-IF($B22=1,0,E21)</f>
        <v>17850.0706882511</v>
      </c>
      <c r="G22" s="22" t="str">
        <f aca="false">IF(in_RevBed_Tom&gt;=F22,"PLANT","STOP")</f>
        <v>STOP</v>
      </c>
      <c r="I22" s="19" t="n">
        <v>16</v>
      </c>
      <c r="J22" s="20" t="n">
        <f aca="false">$I22*in_HrsWkBed_Car*in_WeeksSeason*(1+in_Dim_Car)^$I22</f>
        <v>712.56269791707</v>
      </c>
      <c r="K22" s="20" t="n">
        <f aca="false">J22-IF($I22=1,0,J21)</f>
        <v>60.8285229929205</v>
      </c>
      <c r="L22" s="21" t="n">
        <f aca="false">MIN(J22,in_OwnerFieldHrs)*rate_Owner+MAX(0,J22-in_OwnerFieldHrs)*rate_Temp+in_Fert_Car*$I22</f>
        <v>31781.7603443427</v>
      </c>
      <c r="M22" s="21" t="n">
        <f aca="false">L22-IF($I22=1,0,L21)</f>
        <v>2552.10149280974</v>
      </c>
      <c r="N22" s="22" t="str">
        <f aca="false">IF(in_RevBed_Car&gt;=M22,"PLANT","STOP")</f>
        <v>STOP</v>
      </c>
      <c r="P22" s="19" t="n">
        <v>16</v>
      </c>
      <c r="Q22" s="20" t="n">
        <f aca="false">$P22*in_HrsWkBed_Mes*in_WeeksSeason*(1+in_Dim_Mes)^$P22</f>
        <v>878.3204743461</v>
      </c>
      <c r="R22" s="20" t="n">
        <f aca="false">Q22-IF($P22=1,0,Q21)</f>
        <v>65.0607758774889</v>
      </c>
      <c r="S22" s="21" t="n">
        <f aca="false">MIN(Q22,in_OwnerFieldHrs)*rate_Owner+MAX(0,Q22-in_OwnerFieldHrs)*rate_Temp+in_Fert_Mes*$P22</f>
        <v>41828.6193462865</v>
      </c>
      <c r="T22" s="21" t="n">
        <f aca="false">S22-IF($P22=1,0,S21)</f>
        <v>2009.52735898419</v>
      </c>
      <c r="U22" s="22" t="str">
        <f aca="false">IF(in_RevBed_Mes&gt;=T22,"PLANT","STOP")</f>
        <v>PLANT</v>
      </c>
    </row>
    <row r="23" customFormat="false" ht="15" hidden="false" customHeight="false" outlineLevel="0" collapsed="false">
      <c r="B23" s="16" t="n">
        <v>17</v>
      </c>
      <c r="C23" s="11" t="n">
        <f aca="false">$B23*in_HrsWkBed_Tom*in_WeeksSeason*(1+in_Dim_Tom)^$B23</f>
        <v>7733.33953603921</v>
      </c>
      <c r="D23" s="11" t="n">
        <f aca="false">C23-IF($B23=1,0,C22)</f>
        <v>1116.57843568481</v>
      </c>
      <c r="E23" s="17" t="n">
        <f aca="false">MIN(C23,in_OwnerFieldHrs)*rate_Owner+MAX(0,C23-in_OwnerFieldHrs)*rate_Temp+in_Fert_Tom*$B23</f>
        <v>161719.366945125</v>
      </c>
      <c r="F23" s="17" t="n">
        <f aca="false">E23-IF($B23=1,0,E22)</f>
        <v>20265.0422861946</v>
      </c>
      <c r="G23" s="18" t="str">
        <f aca="false">IF(in_RevBed_Tom&gt;=F23,"PLANT","STOP")</f>
        <v>STOP</v>
      </c>
      <c r="I23" s="16" t="n">
        <v>17</v>
      </c>
      <c r="J23" s="11" t="n">
        <f aca="false">$I23*in_HrsWkBed_Car*in_WeeksSeason*(1+in_Dim_Car)^$I23</f>
        <v>776.025313200309</v>
      </c>
      <c r="K23" s="11" t="n">
        <f aca="false">J23-IF($I23=1,0,J22)</f>
        <v>63.4626152832391</v>
      </c>
      <c r="L23" s="17" t="n">
        <f aca="false">MIN(J23,in_OwnerFieldHrs)*rate_Owner+MAX(0,J23-in_OwnerFieldHrs)*rate_Temp+in_Fert_Car*$I23</f>
        <v>33452.6616875054</v>
      </c>
      <c r="M23" s="17" t="n">
        <f aca="false">L23-IF($I23=1,0,L22)</f>
        <v>1670.90134316266</v>
      </c>
      <c r="N23" s="18" t="str">
        <f aca="false">IF(in_RevBed_Car&gt;=M23,"PLANT","STOP")</f>
        <v>PLANT</v>
      </c>
      <c r="P23" s="16" t="n">
        <v>17</v>
      </c>
      <c r="Q23" s="11" t="n">
        <f aca="false">$P23*in_HrsWkBed_Mes*in_WeeksSeason*(1+in_Dim_Mes)^$P23</f>
        <v>944.88069779264</v>
      </c>
      <c r="R23" s="11" t="n">
        <f aca="false">Q23-IF($P23=1,0,Q22)</f>
        <v>66.5602234465403</v>
      </c>
      <c r="S23" s="17" t="n">
        <f aca="false">MIN(Q23,in_OwnerFieldHrs)*rate_Owner+MAX(0,Q23-in_OwnerFieldHrs)*rate_Temp+in_Fert_Mes*$P23</f>
        <v>43864.1787811222</v>
      </c>
      <c r="T23" s="17" t="n">
        <f aca="false">S23-IF($P23=1,0,S22)</f>
        <v>2035.55943483576</v>
      </c>
      <c r="U23" s="18" t="str">
        <f aca="false">IF(in_RevBed_Mes&gt;=T23,"PLANT","STOP")</f>
        <v>PLANT</v>
      </c>
    </row>
    <row r="24" customFormat="false" ht="15" hidden="false" customHeight="false" outlineLevel="0" collapsed="false">
      <c r="B24" s="19" t="n">
        <v>18</v>
      </c>
      <c r="C24" s="20" t="n">
        <f aca="false">$B24*in_HrsWkBed_Tom*in_WeeksSeason*(1+in_Dim_Tom)^$B24</f>
        <v>9007.06604785743</v>
      </c>
      <c r="D24" s="20" t="n">
        <f aca="false">C24-IF($B24=1,0,C23)</f>
        <v>1273.72651181822</v>
      </c>
      <c r="E24" s="21" t="n">
        <f aca="false">MIN(C24,in_OwnerFieldHrs)*rate_Owner+MAX(0,C24-in_OwnerFieldHrs)*rate_Temp+in_Fert_Tom*$B24</f>
        <v>184712.674441969</v>
      </c>
      <c r="F24" s="21" t="n">
        <f aca="false">E24-IF($B24=1,0,E23)</f>
        <v>22993.3074968441</v>
      </c>
      <c r="G24" s="22" t="str">
        <f aca="false">IF(in_RevBed_Tom&gt;=F24,"PLANT","STOP")</f>
        <v>STOP</v>
      </c>
      <c r="I24" s="19" t="n">
        <v>18</v>
      </c>
      <c r="J24" s="20" t="n">
        <f aca="false">$I24*in_HrsWkBed_Car*in_WeeksSeason*(1+in_Dim_Car)^$I24</f>
        <v>842.215707561512</v>
      </c>
      <c r="K24" s="20" t="n">
        <f aca="false">J24-IF($I24=1,0,J23)</f>
        <v>66.1903943612026</v>
      </c>
      <c r="L24" s="21" t="n">
        <f aca="false">MIN(J24,in_OwnerFieldHrs)*rate_Owner+MAX(0,J24-in_OwnerFieldHrs)*rate_Temp+in_Fert_Car*$I24</f>
        <v>35041.8004784985</v>
      </c>
      <c r="M24" s="21" t="n">
        <f aca="false">L24-IF($I24=1,0,L23)</f>
        <v>1589.13879099311</v>
      </c>
      <c r="N24" s="22" t="str">
        <f aca="false">IF(in_RevBed_Car&gt;=M24,"PLANT","STOP")</f>
        <v>PLANT</v>
      </c>
      <c r="P24" s="19" t="n">
        <v>18</v>
      </c>
      <c r="Q24" s="20" t="n">
        <f aca="false">$P24*in_HrsWkBed_Mes*in_WeeksSeason*(1+in_Dim_Mes)^$P24</f>
        <v>1012.96768925123</v>
      </c>
      <c r="R24" s="20" t="n">
        <f aca="false">Q24-IF($P24=1,0,Q23)</f>
        <v>68.0869914585873</v>
      </c>
      <c r="S24" s="21" t="n">
        <f aca="false">MIN(Q24,in_OwnerFieldHrs)*rate_Owner+MAX(0,Q24-in_OwnerFieldHrs)*rate_Temp+in_Fert_Mes*$P24</f>
        <v>45926.244605056</v>
      </c>
      <c r="T24" s="21" t="n">
        <f aca="false">S24-IF($P24=1,0,S23)</f>
        <v>2062.06582393381</v>
      </c>
      <c r="U24" s="22" t="str">
        <f aca="false">IF(in_RevBed_Mes&gt;=T24,"PLANT","STOP")</f>
        <v>PLANT</v>
      </c>
    </row>
    <row r="25" customFormat="false" ht="15" hidden="false" customHeight="false" outlineLevel="0" collapsed="false">
      <c r="B25" s="16" t="n">
        <v>19</v>
      </c>
      <c r="C25" s="11" t="n">
        <f aca="false">$B25*in_HrsWkBed_Tom*in_WeeksSeason*(1+in_Dim_Tom)^$B25</f>
        <v>10458.2044666789</v>
      </c>
      <c r="D25" s="11" t="n">
        <f aca="false">C25-IF($B25=1,0,C24)</f>
        <v>1451.13841882148</v>
      </c>
      <c r="E25" s="17" t="n">
        <f aca="false">MIN(C25,in_OwnerFieldHrs)*rate_Owner+MAX(0,C25-in_OwnerFieldHrs)*rate_Temp+in_Fert_Tom*$B25</f>
        <v>210786.049768731</v>
      </c>
      <c r="F25" s="17" t="n">
        <f aca="false">E25-IF($B25=1,0,E24)</f>
        <v>26073.3753267617</v>
      </c>
      <c r="G25" s="18" t="str">
        <f aca="false">IF(in_RevBed_Tom&gt;=F25,"PLANT","STOP")</f>
        <v>STOP</v>
      </c>
      <c r="I25" s="16" t="n">
        <v>19</v>
      </c>
      <c r="J25" s="11" t="n">
        <f aca="false">$I25*in_HrsWkBed_Car*in_WeeksSeason*(1+in_Dim_Car)^$I25</f>
        <v>911.230605820024</v>
      </c>
      <c r="K25" s="11" t="n">
        <f aca="false">J25-IF($I25=1,0,J24)</f>
        <v>69.0148982585126</v>
      </c>
      <c r="L25" s="17" t="n">
        <f aca="false">MIN(J25,in_OwnerFieldHrs)*rate_Owner+MAX(0,J25-in_OwnerFieldHrs)*rate_Temp+in_Fert_Car*$I25</f>
        <v>36679.9757954865</v>
      </c>
      <c r="M25" s="17" t="n">
        <f aca="false">L25-IF($I25=1,0,L24)</f>
        <v>1638.17531698807</v>
      </c>
      <c r="N25" s="18" t="str">
        <f aca="false">IF(in_RevBed_Car&gt;=M25,"PLANT","STOP")</f>
        <v>PLANT</v>
      </c>
      <c r="P25" s="16" t="n">
        <v>19</v>
      </c>
      <c r="Q25" s="11" t="n">
        <f aca="false">$P25*in_HrsWkBed_Mes*in_WeeksSeason*(1+in_Dim_Mes)^$P25</f>
        <v>1082.60921788725</v>
      </c>
      <c r="R25" s="11" t="n">
        <f aca="false">Q25-IF($P25=1,0,Q24)</f>
        <v>69.6415286360219</v>
      </c>
      <c r="S25" s="17" t="n">
        <f aca="false">MIN(Q25,in_OwnerFieldHrs)*rate_Owner+MAX(0,Q25-in_OwnerFieldHrs)*rate_Temp+in_Fert_Mes*$P25</f>
        <v>48015.2989216536</v>
      </c>
      <c r="T25" s="17" t="n">
        <f aca="false">S25-IF($P25=1,0,S24)</f>
        <v>2089.05431659761</v>
      </c>
      <c r="U25" s="18" t="str">
        <f aca="false">IF(in_RevBed_Mes&gt;=T25,"PLANT","STOP")</f>
        <v>PLANT</v>
      </c>
    </row>
    <row r="26" customFormat="false" ht="15" hidden="false" customHeight="false" outlineLevel="0" collapsed="false">
      <c r="B26" s="19" t="n">
        <v>20</v>
      </c>
      <c r="C26" s="20" t="n">
        <f aca="false">$B26*in_HrsWkBed_Tom*in_WeeksSeason*(1+in_Dim_Tom)^$B26</f>
        <v>12109.4999087861</v>
      </c>
      <c r="D26" s="20" t="n">
        <f aca="false">C26-IF($B26=1,0,C25)</f>
        <v>1651.2954421072</v>
      </c>
      <c r="E26" s="21" t="n">
        <f aca="false">MIN(C26,in_OwnerFieldHrs)*rate_Owner+MAX(0,C26-in_OwnerFieldHrs)*rate_Temp+in_Fert_Tom*$B26</f>
        <v>240334.373416425</v>
      </c>
      <c r="F26" s="21" t="n">
        <f aca="false">E26-IF($B26=1,0,E25)</f>
        <v>29548.3236476944</v>
      </c>
      <c r="G26" s="22" t="str">
        <f aca="false">IF(in_RevBed_Tom&gt;=F26,"PLANT","STOP")</f>
        <v>STOP</v>
      </c>
      <c r="I26" s="19" t="n">
        <v>20</v>
      </c>
      <c r="J26" s="20" t="n">
        <f aca="false">$I26*in_HrsWkBed_Car*in_WeeksSeason*(1+in_Dim_Car)^$I26</f>
        <v>983.169864174237</v>
      </c>
      <c r="K26" s="20" t="n">
        <f aca="false">J26-IF($I26=1,0,J25)</f>
        <v>71.9392583542124</v>
      </c>
      <c r="L26" s="21" t="n">
        <f aca="false">MIN(J26,in_OwnerFieldHrs)*rate_Owner+MAX(0,J26-in_OwnerFieldHrs)*rate_Temp+in_Fert_Car*$I26</f>
        <v>38368.9212530249</v>
      </c>
      <c r="M26" s="21" t="n">
        <f aca="false">L26-IF($I26=1,0,L25)</f>
        <v>1688.9454575384</v>
      </c>
      <c r="N26" s="22" t="str">
        <f aca="false">IF(in_RevBed_Car&gt;=M26,"PLANT","STOP")</f>
        <v>PLANT</v>
      </c>
      <c r="P26" s="19" t="n">
        <v>20</v>
      </c>
      <c r="Q26" s="20" t="n">
        <f aca="false">$P26*in_HrsWkBed_Mes*in_WeeksSeason*(1+in_Dim_Mes)^$P26</f>
        <v>1153.83350853773</v>
      </c>
      <c r="R26" s="20" t="n">
        <f aca="false">Q26-IF($P26=1,0,Q25)</f>
        <v>71.2242906504769</v>
      </c>
      <c r="S26" s="21" t="n">
        <f aca="false">MIN(Q26,in_OwnerFieldHrs)*rate_Owner+MAX(0,Q26-in_OwnerFieldHrs)*rate_Temp+in_Fert_Mes*$P26</f>
        <v>50131.8317454466</v>
      </c>
      <c r="T26" s="21" t="n">
        <f aca="false">S26-IF($P26=1,0,S25)</f>
        <v>2116.532823793</v>
      </c>
      <c r="U26" s="22" t="str">
        <f aca="false">IF(in_RevBed_Mes&gt;=T26,"PLANT","STOP")</f>
        <v>PLANT</v>
      </c>
    </row>
    <row r="27" customFormat="false" ht="15" hidden="false" customHeight="false" outlineLevel="0" collapsed="false">
      <c r="P27" s="16" t="n">
        <v>21</v>
      </c>
      <c r="Q27" s="11" t="n">
        <f aca="false">$P27*in_HrsWkBed_Mes*in_WeeksSeason*(1+in_Dim_Mes)^$P27</f>
        <v>1226.66924876417</v>
      </c>
      <c r="R27" s="11" t="n">
        <f aca="false">Q27-IF($P27=1,0,Q26)</f>
        <v>72.8357402264439</v>
      </c>
      <c r="S27" s="17" t="n">
        <f aca="false">MIN(Q27,in_OwnerFieldHrs)*rate_Owner+MAX(0,Q27-in_OwnerFieldHrs)*rate_Temp+in_Fert_Mes*$P27</f>
        <v>52276.341124378</v>
      </c>
      <c r="T27" s="17" t="n">
        <f aca="false">S27-IF($P27=1,0,S26)</f>
        <v>2144.50937893132</v>
      </c>
      <c r="U27" s="18" t="str">
        <f aca="false">IF(in_RevBed_Mes&gt;=T27,"PLANT","STOP")</f>
        <v>PLANT</v>
      </c>
    </row>
    <row r="28" customFormat="false" ht="15" hidden="false" customHeight="false" outlineLevel="0" collapsed="false">
      <c r="P28" s="19" t="n">
        <v>22</v>
      </c>
      <c r="Q28" s="20" t="n">
        <f aca="false">$P28*in_HrsWkBed_Mes*in_WeeksSeason*(1+in_Dim_Mes)^$P28</f>
        <v>1301.14559601057</v>
      </c>
      <c r="R28" s="20" t="n">
        <f aca="false">Q28-IF($P28=1,0,Q27)</f>
        <v>74.476347246396</v>
      </c>
      <c r="S28" s="21" t="n">
        <f aca="false">MIN(Q28,in_OwnerFieldHrs)*rate_Owner+MAX(0,Q28-in_OwnerFieldHrs)*rate_Temp+in_Fert_Mes*$P28</f>
        <v>54449.3332640723</v>
      </c>
      <c r="T28" s="21" t="n">
        <f aca="false">S28-IF($P28=1,0,S27)</f>
        <v>2172.99213969438</v>
      </c>
      <c r="U28" s="22" t="str">
        <f aca="false">IF(in_RevBed_Mes&gt;=T28,"PLANT","STOP")</f>
        <v>PLANT</v>
      </c>
    </row>
    <row r="29" customFormat="false" ht="15" hidden="false" customHeight="false" outlineLevel="0" collapsed="false">
      <c r="P29" s="16" t="n">
        <v>23</v>
      </c>
      <c r="Q29" s="11" t="n">
        <f aca="false">$P29*in_HrsWkBed_Mes*in_WeeksSeason*(1+in_Dim_Mes)^$P29</f>
        <v>1377.292184868</v>
      </c>
      <c r="R29" s="11" t="n">
        <f aca="false">Q29-IF($P29=1,0,Q28)</f>
        <v>76.1465888574364</v>
      </c>
      <c r="S29" s="17" t="n">
        <f aca="false">MIN(Q29,in_OwnerFieldHrs)*rate_Owner+MAX(0,Q29-in_OwnerFieldHrs)*rate_Temp+in_Fert_Mes*$P29</f>
        <v>56651.3226539584</v>
      </c>
      <c r="T29" s="17" t="n">
        <f aca="false">S29-IF($P29=1,0,S28)</f>
        <v>2201.98938988605</v>
      </c>
      <c r="U29" s="18" t="str">
        <f aca="false">IF(in_RevBed_Mes&gt;=T29,"PLANT","STOP")</f>
        <v>PLANT</v>
      </c>
    </row>
    <row r="30" customFormat="false" ht="15" hidden="false" customHeight="false" outlineLevel="0" collapsed="false">
      <c r="P30" s="19" t="n">
        <v>24</v>
      </c>
      <c r="Q30" s="20" t="n">
        <f aca="false">$P30*in_HrsWkBed_Mes*in_WeeksSeason*(1+in_Dim_Mes)^$P30</f>
        <v>1455.1391344475</v>
      </c>
      <c r="R30" s="20" t="n">
        <f aca="false">Q30-IF($P30=1,0,Q29)</f>
        <v>77.8469495794957</v>
      </c>
      <c r="S30" s="21" t="n">
        <f aca="false">MIN(Q30,in_OwnerFieldHrs)*rate_Owner+MAX(0,Q30-in_OwnerFieldHrs)*rate_Temp+in_Fert_Mes*$P30</f>
        <v>58882.8321952691</v>
      </c>
      <c r="T30" s="21" t="n">
        <f aca="false">S30-IF($P30=1,0,S29)</f>
        <v>2231.50954131069</v>
      </c>
      <c r="U30" s="22" t="str">
        <f aca="false">IF(in_RevBed_Mes&gt;=T30,"PLANT","STOP")</f>
        <v>PLANT</v>
      </c>
    </row>
    <row r="31" customFormat="false" ht="15" hidden="false" customHeight="false" outlineLevel="0" collapsed="false">
      <c r="P31" s="16" t="n">
        <v>25</v>
      </c>
      <c r="Q31" s="11" t="n">
        <f aca="false">$P31*in_HrsWkBed_Mes*in_WeeksSeason*(1+in_Dim_Mes)^$P31</f>
        <v>1534.7170558626</v>
      </c>
      <c r="R31" s="11" t="n">
        <f aca="false">Q31-IF($P31=1,0,Q30)</f>
        <v>79.5779214150975</v>
      </c>
      <c r="S31" s="17" t="n">
        <f aca="false">MIN(Q31,in_OwnerFieldHrs)*rate_Owner+MAX(0,Q31-in_OwnerFieldHrs)*rate_Temp+in_Fert_Mes*$P31</f>
        <v>61144.3933309478</v>
      </c>
      <c r="T31" s="17" t="n">
        <f aca="false">S31-IF($P31=1,0,S30)</f>
        <v>2261.56113567878</v>
      </c>
      <c r="U31" s="18" t="str">
        <f aca="false">IF(in_RevBed_Mes&gt;=T31,"PLANT","STOP")</f>
        <v>PLANT</v>
      </c>
    </row>
    <row r="32" customFormat="false" ht="15" hidden="false" customHeight="false" outlineLevel="0" collapsed="false">
      <c r="P32" s="19" t="n">
        <v>26</v>
      </c>
      <c r="Q32" s="20" t="n">
        <f aca="false">$P32*in_HrsWkBed_Mes*in_WeeksSeason*(1+in_Dim_Mes)^$P32</f>
        <v>1616.05705982331</v>
      </c>
      <c r="R32" s="20" t="n">
        <f aca="false">Q32-IF($P32=1,0,Q31)</f>
        <v>81.3400039607172</v>
      </c>
      <c r="S32" s="21" t="n">
        <f aca="false">MIN(Q32,in_OwnerFieldHrs)*rate_Owner+MAX(0,Q32-in_OwnerFieldHrs)*rate_Temp+in_Fert_Mes*$P32</f>
        <v>63436.5461774881</v>
      </c>
      <c r="T32" s="21" t="n">
        <f aca="false">S32-IF($P32=1,0,S31)</f>
        <v>2292.15284654023</v>
      </c>
      <c r="U32" s="22" t="str">
        <f aca="false">IF(in_RevBed_Mes&gt;=T32,"PLANT","STOP")</f>
        <v>PLANT</v>
      </c>
    </row>
    <row r="33" customFormat="false" ht="15" hidden="false" customHeight="false" outlineLevel="0" collapsed="false">
      <c r="P33" s="16" t="n">
        <v>27</v>
      </c>
      <c r="Q33" s="11" t="n">
        <f aca="false">$P33*in_HrsWkBed_Mes*in_WeeksSeason*(1+in_Dim_Mes)^$P33</f>
        <v>1699.19076434307</v>
      </c>
      <c r="R33" s="11" t="n">
        <f aca="false">Q33-IF($P33=1,0,Q32)</f>
        <v>83.1337045197572</v>
      </c>
      <c r="S33" s="17" t="n">
        <f aca="false">MIN(Q33,in_OwnerFieldHrs)*rate_Owner+MAX(0,Q33-in_OwnerFieldHrs)*rate_Temp+in_Fert_Mes*$P33</f>
        <v>65759.8396587339</v>
      </c>
      <c r="T33" s="17" t="n">
        <f aca="false">S33-IF($P33=1,0,S32)</f>
        <v>2323.29348124578</v>
      </c>
      <c r="U33" s="18" t="str">
        <f aca="false">IF(in_RevBed_Mes&gt;=T33,"PLANT","STOP")</f>
        <v>PLANT</v>
      </c>
    </row>
    <row r="34" customFormat="false" ht="15" hidden="false" customHeight="false" outlineLevel="0" collapsed="false">
      <c r="P34" s="19" t="n">
        <v>28</v>
      </c>
      <c r="Q34" s="20" t="n">
        <f aca="false">$P34*in_HrsWkBed_Mes*in_WeeksSeason*(1+in_Dim_Mes)^$P34</f>
        <v>1784.15030256022</v>
      </c>
      <c r="R34" s="20" t="n">
        <f aca="false">Q34-IF($P34=1,0,Q33)</f>
        <v>84.9595382171533</v>
      </c>
      <c r="S34" s="21" t="n">
        <f aca="false">MIN(Q34,in_OwnerFieldHrs)*rate_Owner+MAX(0,Q34-in_OwnerFieldHrs)*rate_Temp+in_Fert_Mes*$P34</f>
        <v>68114.8316416706</v>
      </c>
      <c r="T34" s="21" t="n">
        <f aca="false">S34-IF($P34=1,0,S33)</f>
        <v>2354.9919829367</v>
      </c>
      <c r="U34" s="22" t="str">
        <f aca="false">IF(in_RevBed_Mes&gt;=T34,"PLANT","STOP")</f>
        <v>PLANT</v>
      </c>
    </row>
    <row r="35" customFormat="false" ht="15" hidden="false" customHeight="false" outlineLevel="0" collapsed="false">
      <c r="P35" s="16" t="n">
        <v>29</v>
      </c>
      <c r="Q35" s="11" t="n">
        <f aca="false">$P35*in_HrsWkBed_Mes*in_WeeksSeason*(1+in_Dim_Mes)^$P35</f>
        <v>1870.96833067588</v>
      </c>
      <c r="R35" s="11" t="n">
        <f aca="false">Q35-IF($P35=1,0,Q34)</f>
        <v>86.8180281156533</v>
      </c>
      <c r="S35" s="17" t="n">
        <f aca="false">MIN(Q35,in_OwnerFieldHrs)*rate_Owner+MAX(0,Q35-in_OwnerFieldHrs)*rate_Temp+in_Fert_Mes*$P35</f>
        <v>70502.089074234</v>
      </c>
      <c r="T35" s="17" t="n">
        <f aca="false">S35-IF($P35=1,0,S34)</f>
        <v>2387.25743256342</v>
      </c>
      <c r="U35" s="18" t="str">
        <f aca="false">IF(in_RevBed_Mes&gt;=T35,"PLANT","STOP")</f>
        <v>PLANT</v>
      </c>
    </row>
    <row r="36" customFormat="false" ht="15" hidden="false" customHeight="false" outlineLevel="0" collapsed="false">
      <c r="P36" s="19" t="n">
        <v>30</v>
      </c>
      <c r="Q36" s="20" t="n">
        <f aca="false">$P36*in_HrsWkBed_Mes*in_WeeksSeason*(1+in_Dim_Mes)^$P36</f>
        <v>1959.67803600965</v>
      </c>
      <c r="R36" s="20" t="n">
        <f aca="false">Q36-IF($P36=1,0,Q35)</f>
        <v>88.70970533377</v>
      </c>
      <c r="S36" s="21" t="n">
        <f aca="false">MIN(Q36,in_OwnerFieldHrs)*rate_Owner+MAX(0,Q36-in_OwnerFieldHrs)*rate_Temp+in_Fert_Mes*$P36</f>
        <v>72922.1881251675</v>
      </c>
      <c r="T36" s="21" t="n">
        <f aca="false">S36-IF($P36=1,0,S35)</f>
        <v>2420.09905093351</v>
      </c>
      <c r="U36" s="22" t="str">
        <f aca="false">IF(in_RevBed_Mes&gt;=T36,"PLANT","STOP")</f>
        <v>PLANT</v>
      </c>
    </row>
  </sheetData>
  <mergeCells count="6">
    <mergeCell ref="A1:U1"/>
    <mergeCell ref="A2:U2"/>
    <mergeCell ref="A3:U3"/>
    <mergeCell ref="B5:G5"/>
    <mergeCell ref="I5:N5"/>
    <mergeCell ref="P5:U5"/>
  </mergeCells>
  <conditionalFormatting sqref="G7:G26">
    <cfRule type="cellIs" priority="2" operator="equal" aboveAverage="0" equalAverage="0" bottom="0" percent="0" rank="0" text="" dxfId="0">
      <formula>"STOP"</formula>
    </cfRule>
  </conditionalFormatting>
  <conditionalFormatting sqref="N7:N26">
    <cfRule type="cellIs" priority="3" operator="equal" aboveAverage="0" equalAverage="0" bottom="0" percent="0" rank="0" text="" dxfId="0">
      <formula>"STOP"</formula>
    </cfRule>
  </conditionalFormatting>
  <conditionalFormatting sqref="U7:U36">
    <cfRule type="cellIs" priority="4" operator="equal" aboveAverage="0" equalAverage="0" bottom="0" percent="0" rank="0" text="" dxfId="0">
      <formula>"STOP"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5" min="3" style="0" width="16"/>
    <col collapsed="false" customWidth="true" hidden="false" outlineLevel="0" max="6" min="6" style="0" width="26"/>
    <col collapsed="false" customWidth="true" hidden="false" outlineLevel="0" max="11" min="7" style="0" width="15"/>
  </cols>
  <sheetData>
    <row r="1" customFormat="false" ht="25.5" hidden="false" customHeight="true" outlineLevel="0" collapsed="false">
      <c r="A1" s="1" t="s">
        <v>142</v>
      </c>
      <c r="B1" s="1"/>
      <c r="C1" s="1"/>
      <c r="D1" s="1"/>
      <c r="E1" s="1"/>
      <c r="F1" s="1"/>
    </row>
    <row r="2" customFormat="false" ht="15.75" hidden="false" customHeight="true" outlineLevel="0" collapsed="false">
      <c r="A2" s="2" t="s">
        <v>143</v>
      </c>
      <c r="B2" s="2"/>
      <c r="C2" s="2"/>
      <c r="D2" s="2"/>
      <c r="E2" s="2"/>
      <c r="F2" s="2"/>
    </row>
    <row r="5" customFormat="false" ht="15" hidden="false" customHeight="false" outlineLevel="0" collapsed="false">
      <c r="A5" s="4" t="s">
        <v>144</v>
      </c>
      <c r="B5" s="4"/>
      <c r="C5" s="4"/>
      <c r="D5" s="4"/>
      <c r="E5" s="4"/>
      <c r="F5" s="4"/>
    </row>
    <row r="6" customFormat="false" ht="15" hidden="false" customHeight="false" outlineLevel="0" collapsed="false">
      <c r="A6" s="5" t="s">
        <v>145</v>
      </c>
      <c r="B6" s="5" t="s">
        <v>5</v>
      </c>
      <c r="C6" s="5" t="s">
        <v>146</v>
      </c>
      <c r="D6" s="5" t="s">
        <v>147</v>
      </c>
      <c r="E6" s="5"/>
      <c r="F6" s="5"/>
    </row>
    <row r="7" customFormat="false" ht="15" hidden="false" customHeight="false" outlineLevel="0" collapsed="false">
      <c r="A7" s="6" t="s">
        <v>148</v>
      </c>
      <c r="B7" s="7" t="s">
        <v>149</v>
      </c>
      <c r="C7" s="8" t="n">
        <v>10</v>
      </c>
      <c r="D7" s="7" t="s">
        <v>150</v>
      </c>
    </row>
    <row r="8" customFormat="false" ht="15" hidden="false" customHeight="false" outlineLevel="0" collapsed="false">
      <c r="A8" s="6" t="s">
        <v>151</v>
      </c>
      <c r="B8" s="7" t="s">
        <v>152</v>
      </c>
      <c r="C8" s="8" t="n">
        <v>20</v>
      </c>
      <c r="D8" s="7" t="s">
        <v>153</v>
      </c>
    </row>
    <row r="9" customFormat="false" ht="15" hidden="false" customHeight="false" outlineLevel="0" collapsed="false">
      <c r="A9" s="6" t="s">
        <v>154</v>
      </c>
      <c r="B9" s="7" t="s">
        <v>155</v>
      </c>
      <c r="C9" s="8" t="n">
        <v>30</v>
      </c>
      <c r="D9" s="7" t="s">
        <v>156</v>
      </c>
    </row>
    <row r="10" customFormat="false" ht="15" hidden="false" customHeight="false" outlineLevel="0" collapsed="false">
      <c r="A10" s="3" t="s">
        <v>157</v>
      </c>
      <c r="B10" s="3"/>
      <c r="C10" s="3"/>
      <c r="D10" s="3"/>
      <c r="E10" s="3"/>
      <c r="F10" s="3"/>
    </row>
    <row r="12" customFormat="false" ht="15" hidden="false" customHeight="false" outlineLevel="0" collapsed="false">
      <c r="A12" s="4" t="s">
        <v>158</v>
      </c>
      <c r="B12" s="4"/>
      <c r="C12" s="4"/>
      <c r="D12" s="4"/>
      <c r="E12" s="4"/>
      <c r="F12" s="4"/>
    </row>
    <row r="13" customFormat="false" ht="15" hidden="false" customHeight="false" outlineLevel="0" collapsed="false">
      <c r="A13" s="5" t="s">
        <v>159</v>
      </c>
      <c r="B13" s="5" t="s">
        <v>5</v>
      </c>
      <c r="C13" s="5" t="s">
        <v>6</v>
      </c>
      <c r="D13" s="5" t="s">
        <v>7</v>
      </c>
      <c r="E13" s="5"/>
      <c r="F13" s="5"/>
    </row>
    <row r="14" customFormat="false" ht="15" hidden="false" customHeight="false" outlineLevel="0" collapsed="false">
      <c r="A14" s="6" t="s">
        <v>160</v>
      </c>
      <c r="B14" s="7" t="s">
        <v>161</v>
      </c>
      <c r="C14" s="23" t="n">
        <f aca="false">calc_Revenue-calc_TotalCost</f>
        <v>42761.6646827451</v>
      </c>
      <c r="D14" s="6" t="s">
        <v>19</v>
      </c>
    </row>
    <row r="16" customFormat="false" ht="15" hidden="false" customHeight="false" outlineLevel="0" collapsed="false">
      <c r="A16" s="14" t="s">
        <v>162</v>
      </c>
    </row>
    <row r="17" customFormat="false" ht="15" hidden="false" customHeight="false" outlineLevel="0" collapsed="false">
      <c r="A17" s="6" t="s">
        <v>163</v>
      </c>
      <c r="B17" s="7" t="s">
        <v>164</v>
      </c>
      <c r="C17" s="17" t="n">
        <f aca="false">dec_Beds_Tom*in_RevBed_Tom+dec_Beds_Car*in_RevBed_Car+dec_Beds_Mes*in_RevBed_Mes</f>
        <v>210880</v>
      </c>
      <c r="D17" s="6" t="s">
        <v>165</v>
      </c>
    </row>
    <row r="18" customFormat="false" ht="15" hidden="false" customHeight="false" outlineLevel="0" collapsed="false">
      <c r="A18" s="6" t="s">
        <v>166</v>
      </c>
      <c r="B18" s="7" t="s">
        <v>123</v>
      </c>
      <c r="C18" s="17" t="n">
        <f aca="false">calc_OwnerHoursUsed*rate_Owner+calc_TempHoursUsed*rate_Temp</f>
        <v>104118.335317255</v>
      </c>
      <c r="D18" s="6" t="s">
        <v>165</v>
      </c>
    </row>
    <row r="19" customFormat="false" ht="15" hidden="false" customHeight="false" outlineLevel="0" collapsed="false">
      <c r="A19" s="6" t="s">
        <v>167</v>
      </c>
      <c r="B19" s="7" t="s">
        <v>120</v>
      </c>
      <c r="C19" s="17" t="n">
        <f aca="false">dec_Beds_Tom*in_Fert_Tom+dec_Beds_Car*in_Fert_Car+dec_Beds_Mes*in_Fert_Mes</f>
        <v>44000</v>
      </c>
      <c r="D19" s="6" t="s">
        <v>165</v>
      </c>
    </row>
    <row r="20" customFormat="false" ht="15" hidden="false" customHeight="false" outlineLevel="0" collapsed="false">
      <c r="A20" s="6" t="s">
        <v>168</v>
      </c>
      <c r="B20" s="7" t="s">
        <v>117</v>
      </c>
      <c r="C20" s="17" t="n">
        <f aca="false">in_FixedCost</f>
        <v>20000</v>
      </c>
      <c r="D20" s="6" t="s">
        <v>165</v>
      </c>
    </row>
    <row r="21" customFormat="false" ht="15" hidden="false" customHeight="false" outlineLevel="0" collapsed="false">
      <c r="A21" s="6" t="s">
        <v>169</v>
      </c>
      <c r="B21" s="7" t="s">
        <v>170</v>
      </c>
      <c r="C21" s="24" t="n">
        <f aca="false">calc_LaborCost+calc_FertCost+calc_FixedCost</f>
        <v>168118.335317255</v>
      </c>
      <c r="D21" s="6" t="s">
        <v>165</v>
      </c>
    </row>
    <row r="23" customFormat="false" ht="15" hidden="false" customHeight="false" outlineLevel="0" collapsed="false">
      <c r="A23" s="14" t="s">
        <v>171</v>
      </c>
    </row>
    <row r="24" customFormat="false" ht="15" hidden="false" customHeight="false" outlineLevel="0" collapsed="false">
      <c r="A24" s="6" t="s">
        <v>172</v>
      </c>
      <c r="B24" s="7" t="s">
        <v>173</v>
      </c>
      <c r="C24" s="11" t="n">
        <f aca="false">dec_Beds_Tom*in_HrsWkBed_Tom*in_WeeksSeason*(1+in_Dim_Tom)^dec_Beds_Tom</f>
        <v>2334.36821409</v>
      </c>
      <c r="D24" s="6" t="s">
        <v>77</v>
      </c>
    </row>
    <row r="25" customFormat="false" ht="15" hidden="false" customHeight="false" outlineLevel="0" collapsed="false">
      <c r="A25" s="6" t="s">
        <v>174</v>
      </c>
      <c r="B25" s="7" t="s">
        <v>175</v>
      </c>
      <c r="C25" s="11" t="n">
        <f aca="false">dec_Beds_Car*in_HrsWkBed_Car*in_WeeksSeason*(1+in_Dim_Car)^dec_Beds_Car</f>
        <v>983.169864174237</v>
      </c>
      <c r="D25" s="6" t="s">
        <v>77</v>
      </c>
    </row>
    <row r="26" customFormat="false" ht="15" hidden="false" customHeight="false" outlineLevel="0" collapsed="false">
      <c r="A26" s="6" t="s">
        <v>176</v>
      </c>
      <c r="B26" s="7" t="s">
        <v>177</v>
      </c>
      <c r="C26" s="11" t="n">
        <f aca="false">dec_Beds_Mes*in_HrsWkBed_Mes*in_WeeksSeason*(1+in_Dim_Mes)^dec_Beds_Mes</f>
        <v>1959.67803600965</v>
      </c>
      <c r="D26" s="6" t="s">
        <v>77</v>
      </c>
    </row>
    <row r="27" customFormat="false" ht="15" hidden="false" customHeight="false" outlineLevel="0" collapsed="false">
      <c r="A27" s="6" t="s">
        <v>178</v>
      </c>
      <c r="B27" s="7" t="s">
        <v>179</v>
      </c>
      <c r="C27" s="11" t="n">
        <f aca="false">calc_Hours_Tom+calc_Hours_Car+calc_Hours_Mes</f>
        <v>5277.21611427389</v>
      </c>
      <c r="D27" s="6" t="s">
        <v>77</v>
      </c>
    </row>
    <row r="28" customFormat="false" ht="15" hidden="false" customHeight="false" outlineLevel="0" collapsed="false">
      <c r="A28" s="6" t="s">
        <v>180</v>
      </c>
      <c r="B28" s="7" t="s">
        <v>181</v>
      </c>
      <c r="C28" s="11" t="n">
        <f aca="false">MIN(calc_HoursTotal,in_OwnerFieldHrs)</f>
        <v>720</v>
      </c>
      <c r="D28" s="6" t="s">
        <v>77</v>
      </c>
    </row>
    <row r="29" customFormat="false" ht="15" hidden="false" customHeight="false" outlineLevel="0" collapsed="false">
      <c r="A29" s="6" t="s">
        <v>182</v>
      </c>
      <c r="B29" s="7" t="s">
        <v>183</v>
      </c>
      <c r="C29" s="11" t="n">
        <f aca="false">MAX(0,calc_HoursTotal-in_OwnerFieldHrs)</f>
        <v>4557.21611427389</v>
      </c>
      <c r="D29" s="6" t="s">
        <v>77</v>
      </c>
    </row>
    <row r="30" customFormat="false" ht="15" hidden="false" customHeight="false" outlineLevel="0" collapsed="false">
      <c r="A30" s="6" t="s">
        <v>184</v>
      </c>
      <c r="B30" s="7" t="s">
        <v>185</v>
      </c>
      <c r="C30" s="11" t="n">
        <f aca="false">calc_TempHoursUsed/in_TempHrsEach</f>
        <v>3.1647334126902</v>
      </c>
      <c r="D30" s="6" t="s">
        <v>93</v>
      </c>
    </row>
    <row r="31" customFormat="false" ht="15" hidden="false" customHeight="false" outlineLevel="0" collapsed="false">
      <c r="A31" s="6" t="s">
        <v>186</v>
      </c>
      <c r="B31" s="7" t="s">
        <v>187</v>
      </c>
      <c r="C31" s="25" t="n">
        <f aca="false">dec_Beds_Tom+dec_Beds_Car+dec_Beds_Mes</f>
        <v>60</v>
      </c>
      <c r="D31" s="6" t="s">
        <v>15</v>
      </c>
    </row>
    <row r="33" customFormat="false" ht="15" hidden="false" customHeight="false" outlineLevel="0" collapsed="false">
      <c r="A33" s="4" t="s">
        <v>188</v>
      </c>
      <c r="B33" s="4"/>
      <c r="C33" s="4"/>
      <c r="D33" s="4"/>
      <c r="E33" s="4"/>
      <c r="F33" s="4"/>
    </row>
    <row r="34" customFormat="false" ht="15" hidden="false" customHeight="false" outlineLevel="0" collapsed="false">
      <c r="A34" s="5" t="s">
        <v>189</v>
      </c>
      <c r="B34" s="5" t="s">
        <v>190</v>
      </c>
      <c r="C34" s="5" t="s">
        <v>191</v>
      </c>
      <c r="D34" s="5" t="s">
        <v>192</v>
      </c>
      <c r="E34" s="5" t="s">
        <v>193</v>
      </c>
      <c r="F34" s="5"/>
    </row>
    <row r="35" customFormat="false" ht="15" hidden="false" customHeight="false" outlineLevel="0" collapsed="false">
      <c r="A35" s="6" t="s">
        <v>194</v>
      </c>
      <c r="B35" s="25" t="n">
        <f aca="false">calc_BedsUsed</f>
        <v>60</v>
      </c>
      <c r="C35" s="25" t="n">
        <f aca="false">in_BedsTotal</f>
        <v>64</v>
      </c>
      <c r="D35" s="25" t="n">
        <f aca="false">in_BedsTotal-calc_BedsUsed</f>
        <v>4</v>
      </c>
      <c r="E35" s="18" t="str">
        <f aca="false">IF(D35&lt;0,"VIOLATED",IF(ROUND(D35,6)=0,"BINDING","slack"))</f>
        <v>slack</v>
      </c>
    </row>
    <row r="36" customFormat="false" ht="15" hidden="false" customHeight="false" outlineLevel="0" collapsed="false">
      <c r="A36" s="6" t="s">
        <v>148</v>
      </c>
      <c r="B36" s="25" t="n">
        <f aca="false">dec_Beds_Tom</f>
        <v>10</v>
      </c>
      <c r="C36" s="25" t="n">
        <f aca="false">in_BedCap_Tom</f>
        <v>20</v>
      </c>
      <c r="D36" s="25" t="n">
        <f aca="false">in_BedCap_Tom-dec_Beds_Tom</f>
        <v>10</v>
      </c>
      <c r="E36" s="18" t="str">
        <f aca="false">IF(D36&lt;0,"VIOLATED",IF(ROUND(D36,6)=0,"BINDING","slack"))</f>
        <v>slack</v>
      </c>
    </row>
    <row r="37" customFormat="false" ht="15" hidden="false" customHeight="false" outlineLevel="0" collapsed="false">
      <c r="A37" s="6" t="s">
        <v>151</v>
      </c>
      <c r="B37" s="25" t="n">
        <f aca="false">dec_Beds_Car</f>
        <v>20</v>
      </c>
      <c r="C37" s="25" t="n">
        <f aca="false">in_BedCap_Car</f>
        <v>20</v>
      </c>
      <c r="D37" s="25" t="n">
        <f aca="false">in_BedCap_Car-dec_Beds_Car</f>
        <v>0</v>
      </c>
      <c r="E37" s="18" t="str">
        <f aca="false">IF(D37&lt;0,"VIOLATED",IF(ROUND(D37,6)=0,"BINDING","slack"))</f>
        <v>BINDING</v>
      </c>
    </row>
    <row r="38" customFormat="false" ht="15" hidden="false" customHeight="false" outlineLevel="0" collapsed="false">
      <c r="A38" s="6" t="s">
        <v>154</v>
      </c>
      <c r="B38" s="25" t="n">
        <f aca="false">dec_Beds_Mes</f>
        <v>30</v>
      </c>
      <c r="C38" s="25" t="n">
        <f aca="false">in_BedCap_Mes</f>
        <v>30</v>
      </c>
      <c r="D38" s="25" t="n">
        <f aca="false">in_BedCap_Mes-dec_Beds_Mes</f>
        <v>0</v>
      </c>
      <c r="E38" s="18" t="str">
        <f aca="false">IF(D38&lt;0,"VIOLATED",IF(ROUND(D38,6)=0,"BINDING","slack"))</f>
        <v>BINDING</v>
      </c>
    </row>
    <row r="39" customFormat="false" ht="15" hidden="false" customHeight="false" outlineLevel="0" collapsed="false">
      <c r="A39" s="6" t="s">
        <v>195</v>
      </c>
      <c r="B39" s="11" t="n">
        <f aca="false">calc_TempHoursUsed</f>
        <v>4557.21611427389</v>
      </c>
      <c r="C39" s="11" t="n">
        <f aca="false">cap_TempHours</f>
        <v>5760</v>
      </c>
      <c r="D39" s="11" t="n">
        <f aca="false">cap_TempHours-calc_TempHoursUsed</f>
        <v>1202.78388572612</v>
      </c>
      <c r="E39" s="18" t="str">
        <f aca="false">IF(D39&lt;0,"VIOLATED",IF(ROUND(D39,6)=0,"BINDING","slack"))</f>
        <v>slack</v>
      </c>
    </row>
    <row r="40" customFormat="false" ht="15" hidden="false" customHeight="false" outlineLevel="0" collapsed="false">
      <c r="A40" s="6" t="s">
        <v>196</v>
      </c>
      <c r="B40" s="11" t="n">
        <f aca="false">calc_TempWorkers</f>
        <v>3.1647334126902</v>
      </c>
      <c r="C40" s="11" t="n">
        <f aca="false">in_TempMax</f>
        <v>4</v>
      </c>
      <c r="D40" s="11" t="n">
        <f aca="false">in_TempMax-calc_TempWorkers</f>
        <v>0.835266587309802</v>
      </c>
      <c r="E40" s="18" t="str">
        <f aca="false">IF(D40&lt;0,"VIOLATED",IF(ROUND(D40,6)=0,"BINDING","slack"))</f>
        <v>slack</v>
      </c>
    </row>
    <row r="42" customFormat="false" ht="15" hidden="false" customHeight="false" outlineLevel="0" collapsed="false">
      <c r="A42" s="4" t="s">
        <v>197</v>
      </c>
      <c r="B42" s="4"/>
      <c r="C42" s="4"/>
      <c r="D42" s="4"/>
      <c r="E42" s="4"/>
      <c r="F42" s="4"/>
    </row>
    <row r="43" customFormat="false" ht="15" hidden="false" customHeight="false" outlineLevel="0" collapsed="false">
      <c r="A43" s="5" t="s">
        <v>198</v>
      </c>
      <c r="B43" s="5" t="s">
        <v>199</v>
      </c>
      <c r="C43" s="5"/>
      <c r="D43" s="5"/>
      <c r="E43" s="5"/>
      <c r="F43" s="5"/>
    </row>
    <row r="44" customFormat="false" ht="15" hidden="false" customHeight="false" outlineLevel="0" collapsed="false">
      <c r="A44" s="6" t="s">
        <v>200</v>
      </c>
      <c r="B44" s="26" t="s">
        <v>161</v>
      </c>
      <c r="C44" s="26"/>
      <c r="D44" s="26"/>
      <c r="E44" s="26"/>
      <c r="F44" s="26"/>
    </row>
    <row r="45" customFormat="false" ht="15" hidden="false" customHeight="false" outlineLevel="0" collapsed="false">
      <c r="A45" s="6" t="s">
        <v>201</v>
      </c>
      <c r="B45" s="26" t="s">
        <v>202</v>
      </c>
      <c r="C45" s="26"/>
      <c r="D45" s="26"/>
      <c r="E45" s="26"/>
      <c r="F45" s="26"/>
    </row>
    <row r="46" customFormat="false" ht="15" hidden="false" customHeight="false" outlineLevel="0" collapsed="false">
      <c r="A46" s="6" t="s">
        <v>203</v>
      </c>
      <c r="B46" s="26" t="s">
        <v>204</v>
      </c>
      <c r="C46" s="26"/>
      <c r="D46" s="26"/>
      <c r="E46" s="26"/>
      <c r="F46" s="26"/>
    </row>
    <row r="47" customFormat="false" ht="15" hidden="false" customHeight="false" outlineLevel="0" collapsed="false">
      <c r="A47" s="6" t="s">
        <v>205</v>
      </c>
      <c r="B47" s="26" t="s">
        <v>206</v>
      </c>
      <c r="C47" s="26"/>
      <c r="D47" s="26"/>
      <c r="E47" s="26"/>
      <c r="F47" s="26"/>
    </row>
    <row r="48" customFormat="false" ht="15" hidden="false" customHeight="false" outlineLevel="0" collapsed="false">
      <c r="A48" s="6"/>
      <c r="B48" s="26" t="s">
        <v>207</v>
      </c>
      <c r="C48" s="26"/>
      <c r="D48" s="26"/>
      <c r="E48" s="26"/>
      <c r="F48" s="26"/>
    </row>
    <row r="49" customFormat="false" ht="15" hidden="false" customHeight="false" outlineLevel="0" collapsed="false">
      <c r="A49" s="6"/>
      <c r="B49" s="26" t="s">
        <v>208</v>
      </c>
      <c r="C49" s="26"/>
      <c r="D49" s="26"/>
      <c r="E49" s="26"/>
      <c r="F49" s="26"/>
    </row>
    <row r="50" customFormat="false" ht="15" hidden="false" customHeight="false" outlineLevel="0" collapsed="false">
      <c r="A50" s="6"/>
      <c r="B50" s="26" t="s">
        <v>209</v>
      </c>
      <c r="C50" s="26"/>
      <c r="D50" s="26"/>
      <c r="E50" s="26"/>
      <c r="F50" s="26"/>
    </row>
    <row r="51" customFormat="false" ht="15" hidden="false" customHeight="false" outlineLevel="0" collapsed="false">
      <c r="A51" s="6"/>
      <c r="B51" s="26" t="s">
        <v>210</v>
      </c>
      <c r="C51" s="26"/>
      <c r="D51" s="26"/>
      <c r="E51" s="26"/>
      <c r="F51" s="26"/>
    </row>
    <row r="52" customFormat="false" ht="15" hidden="false" customHeight="false" outlineLevel="0" collapsed="false">
      <c r="A52" s="6"/>
      <c r="B52" s="26" t="s">
        <v>211</v>
      </c>
      <c r="C52" s="26"/>
      <c r="D52" s="26"/>
      <c r="E52" s="26"/>
      <c r="F52" s="26"/>
    </row>
    <row r="53" customFormat="false" ht="15" hidden="false" customHeight="false" outlineLevel="0" collapsed="false">
      <c r="A53" s="6" t="s">
        <v>212</v>
      </c>
      <c r="B53" s="26" t="s">
        <v>213</v>
      </c>
      <c r="C53" s="26"/>
      <c r="D53" s="26"/>
      <c r="E53" s="26"/>
      <c r="F53" s="26"/>
    </row>
    <row r="54" customFormat="false" ht="15" hidden="false" customHeight="false" outlineLevel="0" collapsed="false">
      <c r="A54" s="6" t="s">
        <v>214</v>
      </c>
      <c r="B54" s="26" t="s">
        <v>215</v>
      </c>
      <c r="C54" s="26"/>
      <c r="D54" s="26"/>
      <c r="E54" s="26"/>
      <c r="F54" s="26"/>
    </row>
    <row r="55" customFormat="false" ht="15" hidden="false" customHeight="false" outlineLevel="0" collapsed="false">
      <c r="A55" s="6" t="s">
        <v>216</v>
      </c>
      <c r="B55" s="26" t="s">
        <v>217</v>
      </c>
      <c r="C55" s="26"/>
      <c r="D55" s="26"/>
      <c r="E55" s="26"/>
      <c r="F55" s="26"/>
    </row>
    <row r="56" customFormat="false" ht="15" hidden="false" customHeight="false" outlineLevel="0" collapsed="false">
      <c r="A56" s="6" t="s">
        <v>218</v>
      </c>
      <c r="B56" s="26" t="s">
        <v>219</v>
      </c>
      <c r="C56" s="26"/>
      <c r="D56" s="26"/>
      <c r="E56" s="26"/>
      <c r="F56" s="26"/>
    </row>
    <row r="57" customFormat="false" ht="15" hidden="false" customHeight="false" outlineLevel="0" collapsed="false">
      <c r="A57" s="6" t="s">
        <v>220</v>
      </c>
      <c r="B57" s="26" t="s">
        <v>221</v>
      </c>
      <c r="C57" s="26"/>
      <c r="D57" s="26"/>
      <c r="E57" s="26"/>
      <c r="F57" s="26"/>
    </row>
    <row r="58" customFormat="false" ht="15" hidden="false" customHeight="false" outlineLevel="0" collapsed="false">
      <c r="A58" s="3" t="s">
        <v>222</v>
      </c>
      <c r="B58" s="3"/>
      <c r="C58" s="3"/>
      <c r="D58" s="3"/>
      <c r="E58" s="3"/>
      <c r="F58" s="3"/>
    </row>
    <row r="59" customFormat="false" ht="15" hidden="false" customHeight="false" outlineLevel="0" collapsed="false">
      <c r="A59" s="3" t="s">
        <v>223</v>
      </c>
      <c r="B59" s="3"/>
      <c r="C59" s="3"/>
      <c r="D59" s="3"/>
      <c r="E59" s="3"/>
      <c r="F59" s="3"/>
    </row>
    <row r="60" customFormat="false" ht="15" hidden="false" customHeight="false" outlineLevel="0" collapsed="false">
      <c r="A60" s="5" t="s">
        <v>224</v>
      </c>
      <c r="B60" s="5" t="s">
        <v>225</v>
      </c>
      <c r="C60" s="5" t="s">
        <v>226</v>
      </c>
      <c r="D60" s="5" t="s">
        <v>227</v>
      </c>
      <c r="E60" s="5"/>
      <c r="F60" s="5"/>
    </row>
    <row r="61" customFormat="false" ht="15" hidden="false" customHeight="false" outlineLevel="0" collapsed="false">
      <c r="A61" s="27" t="s">
        <v>228</v>
      </c>
      <c r="B61" s="28"/>
      <c r="C61" s="28"/>
      <c r="D61" s="28"/>
    </row>
    <row r="63" customFormat="false" ht="15" hidden="false" customHeight="false" outlineLevel="0" collapsed="false">
      <c r="A63" s="4" t="s">
        <v>229</v>
      </c>
      <c r="B63" s="4"/>
      <c r="C63" s="4"/>
      <c r="D63" s="4"/>
      <c r="E63" s="4"/>
      <c r="F63" s="4"/>
    </row>
    <row r="64" customFormat="false" ht="15" hidden="false" customHeight="false" outlineLevel="0" collapsed="false">
      <c r="A64" s="5" t="s">
        <v>230</v>
      </c>
      <c r="B64" s="5" t="s">
        <v>231</v>
      </c>
      <c r="C64" s="5" t="s">
        <v>232</v>
      </c>
      <c r="D64" s="5" t="s">
        <v>233</v>
      </c>
      <c r="E64" s="5" t="s">
        <v>234</v>
      </c>
      <c r="F64" s="5"/>
      <c r="G64" s="27" t="s">
        <v>235</v>
      </c>
      <c r="H64" s="27" t="s">
        <v>236</v>
      </c>
      <c r="I64" s="27" t="s">
        <v>237</v>
      </c>
      <c r="J64" s="27" t="s">
        <v>238</v>
      </c>
      <c r="K64" s="27"/>
      <c r="L64" s="27"/>
    </row>
    <row r="65" customFormat="false" ht="15" hidden="false" customHeight="false" outlineLevel="0" collapsed="false">
      <c r="A65" s="6" t="s">
        <v>133</v>
      </c>
      <c r="B65" s="17" t="n">
        <f aca="false">calc_LaborCost-H65+in_Fert_Tom</f>
        <v>8248.58653437501</v>
      </c>
      <c r="C65" s="17" t="n">
        <f aca="false">J65-calc_LaborCost+in_Fert_Tom</f>
        <v>9390.71744720313</v>
      </c>
      <c r="D65" s="17" t="n">
        <f aca="false">in_RevBed_Tom</f>
        <v>8800</v>
      </c>
      <c r="E65" s="18" t="str">
        <f aca="false">IF(dec_Beds_Tom&gt;=in_BedCap_Tom,"at cap",IF(calc_IncNext_Tom&gt;in_RevBed_Tom,"economic","not stopped"))</f>
        <v>economic</v>
      </c>
      <c r="G65" s="29" t="n">
        <f aca="false">calc_HoursTotal-calc_Hours_Tom+(dec_Beds_Tom-1)*in_HrsWkBed_Tom*in_WeeksSeason*(1+in_Dim_Tom)^(dec_Beds_Tom-1)</f>
        <v>4852.78552989389</v>
      </c>
      <c r="H65" s="30" t="n">
        <f aca="false">MIN(G65,in_OwnerFieldHrs)*rate_Owner+MAX(0,G65-in_OwnerFieldHrs)*rate_Temp</f>
        <v>96749.74878288</v>
      </c>
      <c r="I65" s="29" t="n">
        <f aca="false">calc_HoursTotal-calc_Hours_Tom+(dec_Beds_Tom+1)*in_HrsWkBed_Tom*in_WeeksSeason*(1+in_Dim_Tom)^(dec_Beds_Tom+1)</f>
        <v>5767.43343923279</v>
      </c>
      <c r="J65" s="30" t="n">
        <f aca="false">MIN(I65,in_OwnerFieldHrs)*rate_Owner+MAX(0,I65-in_OwnerFieldHrs)*rate_Temp</f>
        <v>112629.052764458</v>
      </c>
    </row>
    <row r="66" customFormat="false" ht="15" hidden="false" customHeight="false" outlineLevel="0" collapsed="false">
      <c r="A66" s="6" t="s">
        <v>134</v>
      </c>
      <c r="B66" s="17" t="n">
        <f aca="false">calc_LaborCost-H66+in_Fert_Car</f>
        <v>1688.94545753843</v>
      </c>
      <c r="C66" s="17" t="n">
        <f aca="false">J66-calc_LaborCost+in_Fert_Car</f>
        <v>1741.50524554314</v>
      </c>
      <c r="D66" s="17" t="n">
        <f aca="false">in_RevBed_Car</f>
        <v>2094</v>
      </c>
      <c r="E66" s="18" t="str">
        <f aca="false">IF(dec_Beds_Car&gt;=in_BedCap_Car,"at cap",IF(calc_IncNext_Car&gt;in_RevBed_Car,"economic","not stopped"))</f>
        <v>at cap</v>
      </c>
      <c r="G66" s="29" t="n">
        <f aca="false">calc_HoursTotal-calc_Hours_Car+(dec_Beds_Car-1)*in_HrsWkBed_Car*in_WeeksSeason*(1+in_Dim_Car)^(dec_Beds_Car-1)</f>
        <v>5205.27685591967</v>
      </c>
      <c r="H66" s="30" t="n">
        <f aca="false">MIN(G66,in_OwnerFieldHrs)*rate_Owner+MAX(0,G66-in_OwnerFieldHrs)*rate_Temp</f>
        <v>102869.389859717</v>
      </c>
      <c r="I66" s="29" t="n">
        <f aca="false">calc_HoursTotal-calc_Hours_Car+(dec_Beds_Car+1)*in_HrsWkBed_Car*in_WeeksSeason*(1+in_Dim_Car)^(dec_Beds_Car+1)</f>
        <v>5352.18281641717</v>
      </c>
      <c r="J66" s="30" t="n">
        <f aca="false">MIN(I66,in_OwnerFieldHrs)*rate_Owner+MAX(0,I66-in_OwnerFieldHrs)*rate_Temp</f>
        <v>105419.840562798</v>
      </c>
    </row>
    <row r="67" customFormat="false" ht="15" hidden="false" customHeight="false" outlineLevel="0" collapsed="false">
      <c r="A67" s="6" t="s">
        <v>135</v>
      </c>
      <c r="B67" s="17" t="n">
        <f aca="false">calc_LaborCost-H67+in_Fert_Mes</f>
        <v>2420.09905093352</v>
      </c>
      <c r="C67" s="17" t="n">
        <f aca="false">J67-calc_LaborCost+in_Fert_Mes</f>
        <v>2453.52620078898</v>
      </c>
      <c r="D67" s="17" t="n">
        <f aca="false">in_RevBed_Mes</f>
        <v>2700</v>
      </c>
      <c r="E67" s="18" t="str">
        <f aca="false">IF(dec_Beds_Mes&gt;=in_BedCap_Mes,"at cap",IF(calc_IncNext_Mes&gt;in_RevBed_Mes,"economic","not stopped"))</f>
        <v>at cap</v>
      </c>
      <c r="G67" s="29" t="n">
        <f aca="false">calc_HoursTotal-calc_Hours_Mes+(dec_Beds_Mes-1)*in_HrsWkBed_Mes*in_WeeksSeason*(1+in_Dim_Mes)^(dec_Beds_Mes-1)</f>
        <v>5188.50640894012</v>
      </c>
      <c r="H67" s="30" t="n">
        <f aca="false">MIN(G67,in_OwnerFieldHrs)*rate_Owner+MAX(0,G67-in_OwnerFieldHrs)*rate_Temp</f>
        <v>102578.236266321</v>
      </c>
      <c r="I67" s="29" t="n">
        <f aca="false">calc_HoursTotal-calc_Hours_Mes+(dec_Beds_Mes+1)*in_HrsWkBed_Mes*in_WeeksSeason*(1+in_Dim_Mes)^(dec_Beds_Mes+1)</f>
        <v>5367.85122343933</v>
      </c>
      <c r="J67" s="30" t="n">
        <f aca="false">MIN(I67,in_OwnerFieldHrs)*rate_Owner+MAX(0,I67-in_OwnerFieldHrs)*rate_Temp</f>
        <v>105691.861518044</v>
      </c>
    </row>
  </sheetData>
  <mergeCells count="24">
    <mergeCell ref="A1:F1"/>
    <mergeCell ref="A2:F2"/>
    <mergeCell ref="A5:F5"/>
    <mergeCell ref="A10:F10"/>
    <mergeCell ref="A12:F12"/>
    <mergeCell ref="A33:F33"/>
    <mergeCell ref="A42:F42"/>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A58:F58"/>
    <mergeCell ref="A59:F59"/>
    <mergeCell ref="A63:F63"/>
  </mergeCells>
  <conditionalFormatting sqref="E35:E40">
    <cfRule type="cellIs" priority="2" operator="equal" aboveAverage="0" equalAverage="0" bottom="0" percent="0" rank="0" text="" dxfId="1">
      <formula>"BINDING"</formula>
    </cfRule>
    <cfRule type="cellIs" priority="3" operator="equal" aboveAverage="0" equalAverage="0" bottom="0" percent="0" rank="0" text="" dxfId="0">
      <formula>"VIOLATED"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3" min="3" style="0" width="18"/>
    <col collapsed="false" customWidth="true" hidden="false" outlineLevel="0" max="4" min="4" style="0" width="16"/>
    <col collapsed="false" customWidth="true" hidden="false" outlineLevel="0" max="5" min="5" style="0" width="20"/>
    <col collapsed="false" customWidth="true" hidden="false" outlineLevel="0" max="6" min="6" style="0" width="4"/>
    <col collapsed="false" customWidth="true" hidden="false" outlineLevel="0" max="14" min="8" style="0" width="11"/>
  </cols>
  <sheetData>
    <row r="1" customFormat="false" ht="25.5" hidden="false" customHeight="true" outlineLevel="0" collapsed="false">
      <c r="A1" s="1" t="s">
        <v>239</v>
      </c>
      <c r="B1" s="1"/>
      <c r="C1" s="1"/>
      <c r="D1" s="1"/>
      <c r="E1" s="1"/>
      <c r="F1" s="1"/>
    </row>
    <row r="2" customFormat="false" ht="15.75" hidden="false" customHeight="true" outlineLevel="0" collapsed="false">
      <c r="A2" s="2" t="s">
        <v>240</v>
      </c>
      <c r="B2" s="2"/>
      <c r="C2" s="2"/>
      <c r="D2" s="2"/>
      <c r="E2" s="2"/>
      <c r="F2" s="2"/>
    </row>
    <row r="3" customFormat="false" ht="15" hidden="false" customHeight="false" outlineLevel="0" collapsed="false">
      <c r="A3" s="3" t="s">
        <v>241</v>
      </c>
      <c r="B3" s="3"/>
      <c r="C3" s="3"/>
      <c r="D3" s="3"/>
      <c r="E3" s="3"/>
      <c r="F3" s="3"/>
    </row>
    <row r="5" customFormat="false" ht="15" hidden="false" customHeight="false" outlineLevel="0" collapsed="false">
      <c r="A5" s="4" t="s">
        <v>242</v>
      </c>
      <c r="B5" s="4"/>
      <c r="C5" s="4"/>
      <c r="D5" s="4"/>
      <c r="E5" s="4"/>
      <c r="F5" s="4"/>
      <c r="H5" s="5" t="s">
        <v>243</v>
      </c>
      <c r="I5" s="5" t="s">
        <v>244</v>
      </c>
      <c r="J5" s="5" t="s">
        <v>245</v>
      </c>
      <c r="K5" s="5" t="s">
        <v>246</v>
      </c>
      <c r="L5" s="5" t="s">
        <v>247</v>
      </c>
      <c r="M5" s="5" t="s">
        <v>248</v>
      </c>
      <c r="N5" s="5" t="s">
        <v>249</v>
      </c>
    </row>
    <row r="6" customFormat="false" ht="15" hidden="false" customHeight="false" outlineLevel="0" collapsed="false">
      <c r="A6" s="5" t="s">
        <v>250</v>
      </c>
      <c r="B6" s="5" t="s">
        <v>5</v>
      </c>
      <c r="C6" s="5" t="s">
        <v>6</v>
      </c>
      <c r="D6" s="5" t="s">
        <v>7</v>
      </c>
      <c r="E6" s="5" t="s">
        <v>251</v>
      </c>
      <c r="F6" s="5"/>
      <c r="H6" s="31" t="n">
        <f aca="false">INDEX(sch_q_Mes,1)</f>
        <v>1</v>
      </c>
      <c r="I6" s="32" t="n">
        <f aca="false">IF(1&lt;=in_BedCap_Tom,INDEX(sch_MC_Tom,1),"")</f>
        <v>4317.5</v>
      </c>
      <c r="J6" s="32" t="n">
        <f aca="false">IF(1&lt;=in_BedCap_Car,INDEX(sch_MC_Car,1),"")</f>
        <v>1507.70833333333</v>
      </c>
      <c r="K6" s="32" t="n">
        <f aca="false">INDEX(sch_MC_Mes,1)</f>
        <v>2462.03125</v>
      </c>
      <c r="L6" s="32" t="n">
        <f aca="false">in_RevBed_Tom</f>
        <v>8800</v>
      </c>
      <c r="M6" s="32" t="n">
        <f aca="false">in_RevBed_Car</f>
        <v>2094</v>
      </c>
      <c r="N6" s="32" t="n">
        <f aca="false">in_RevBed_Mes</f>
        <v>2700</v>
      </c>
    </row>
    <row r="7" customFormat="false" ht="15" hidden="false" customHeight="false" outlineLevel="0" collapsed="false">
      <c r="A7" s="6" t="s">
        <v>252</v>
      </c>
      <c r="B7" s="7" t="s">
        <v>253</v>
      </c>
      <c r="C7" s="33" t="n">
        <f aca="false">dec_Beds_Tom</f>
        <v>10</v>
      </c>
      <c r="D7" s="6" t="s">
        <v>15</v>
      </c>
      <c r="E7" s="27" t="s">
        <v>254</v>
      </c>
      <c r="H7" s="31" t="n">
        <f aca="false">INDEX(sch_q_Mes,2)</f>
        <v>2</v>
      </c>
      <c r="I7" s="32" t="n">
        <f aca="false">IF(2&lt;=in_BedCap_Tom,INDEX(sch_MC_Tom,2),"")</f>
        <v>5005</v>
      </c>
      <c r="J7" s="32" t="n">
        <f aca="false">IF(2&lt;=in_BedCap_Car,INDEX(sch_MC_Car,2),"")</f>
        <v>1561.09375</v>
      </c>
      <c r="K7" s="32" t="n">
        <f aca="false">INDEX(sch_MC_Mes,2)</f>
        <v>2501.58203125</v>
      </c>
      <c r="L7" s="32" t="n">
        <f aca="false">in_RevBed_Tom</f>
        <v>8800</v>
      </c>
      <c r="M7" s="32" t="n">
        <f aca="false">in_RevBed_Car</f>
        <v>2094</v>
      </c>
      <c r="N7" s="32" t="n">
        <f aca="false">in_RevBed_Mes</f>
        <v>2700</v>
      </c>
    </row>
    <row r="8" customFormat="false" ht="15" hidden="false" customHeight="false" outlineLevel="0" collapsed="false">
      <c r="A8" s="6" t="s">
        <v>255</v>
      </c>
      <c r="B8" s="7" t="s">
        <v>256</v>
      </c>
      <c r="C8" s="33" t="n">
        <f aca="false">dec_Beds_Car</f>
        <v>20</v>
      </c>
      <c r="D8" s="6" t="s">
        <v>15</v>
      </c>
      <c r="E8" s="27" t="s">
        <v>257</v>
      </c>
      <c r="H8" s="31" t="n">
        <f aca="false">INDEX(sch_q_Mes,3)</f>
        <v>3</v>
      </c>
      <c r="I8" s="32" t="n">
        <f aca="false">IF(3&lt;=in_BedCap_Tom,INDEX(sch_MC_Tom,3),"")</f>
        <v>5795.625</v>
      </c>
      <c r="J8" s="32" t="n">
        <f aca="false">IF(3&lt;=in_BedCap_Car,INDEX(sch_MC_Car,3),"")</f>
        <v>1616.48111979167</v>
      </c>
      <c r="K8" s="32" t="n">
        <f aca="false">INDEX(sch_MC_Mes,3)</f>
        <v>2541.87438964844</v>
      </c>
      <c r="L8" s="32" t="n">
        <f aca="false">in_RevBed_Tom</f>
        <v>8800</v>
      </c>
      <c r="M8" s="32" t="n">
        <f aca="false">in_RevBed_Car</f>
        <v>2094</v>
      </c>
      <c r="N8" s="32" t="n">
        <f aca="false">in_RevBed_Mes</f>
        <v>2700</v>
      </c>
    </row>
    <row r="9" customFormat="false" ht="15" hidden="false" customHeight="false" outlineLevel="0" collapsed="false">
      <c r="A9" s="6" t="s">
        <v>258</v>
      </c>
      <c r="B9" s="7" t="s">
        <v>259</v>
      </c>
      <c r="C9" s="33" t="n">
        <f aca="false">dec_Beds_Mes</f>
        <v>30</v>
      </c>
      <c r="D9" s="6" t="s">
        <v>15</v>
      </c>
      <c r="E9" s="27" t="s">
        <v>260</v>
      </c>
      <c r="H9" s="31" t="n">
        <f aca="false">INDEX(sch_q_Mes,4)</f>
        <v>4</v>
      </c>
      <c r="I9" s="32" t="n">
        <f aca="false">IF(4&lt;=in_BedCap_Tom,INDEX(sch_MC_Tom,4),"")</f>
        <v>6703.125</v>
      </c>
      <c r="J9" s="32" t="n">
        <f aca="false">IF(4&lt;=in_BedCap_Car,INDEX(sch_MC_Car,4),"")</f>
        <v>1673.93717447917</v>
      </c>
      <c r="K9" s="32" t="n">
        <f aca="false">INDEX(sch_MC_Mes,4)</f>
        <v>2582.92068481445</v>
      </c>
      <c r="L9" s="32" t="n">
        <f aca="false">in_RevBed_Tom</f>
        <v>8800</v>
      </c>
      <c r="M9" s="32" t="n">
        <f aca="false">in_RevBed_Car</f>
        <v>2094</v>
      </c>
      <c r="N9" s="32" t="n">
        <f aca="false">in_RevBed_Mes</f>
        <v>2700</v>
      </c>
    </row>
    <row r="10" customFormat="false" ht="15" hidden="false" customHeight="false" outlineLevel="0" collapsed="false">
      <c r="A10" s="6" t="s">
        <v>261</v>
      </c>
      <c r="B10" s="7" t="s">
        <v>262</v>
      </c>
      <c r="C10" s="33" t="n">
        <f aca="false">calc_BedsUsed</f>
        <v>60</v>
      </c>
      <c r="D10" s="6" t="s">
        <v>263</v>
      </c>
      <c r="E10" s="27" t="s">
        <v>264</v>
      </c>
      <c r="H10" s="31" t="n">
        <f aca="false">INDEX(sch_q_Mes,5)</f>
        <v>5</v>
      </c>
      <c r="I10" s="32" t="n">
        <f aca="false">IF(5&lt;=in_BedCap_Tom,INDEX(sch_MC_Tom,5),"")</f>
        <v>7660.859375</v>
      </c>
      <c r="J10" s="32" t="n">
        <f aca="false">IF(5&lt;=in_BedCap_Car,INDEX(sch_MC_Car,5),"")</f>
        <v>1733.53073120117</v>
      </c>
      <c r="K10" s="32" t="n">
        <f aca="false">INDEX(sch_MC_Mes,5)</f>
        <v>2624.73346948624</v>
      </c>
      <c r="L10" s="32" t="n">
        <f aca="false">in_RevBed_Tom</f>
        <v>8800</v>
      </c>
      <c r="M10" s="32" t="n">
        <f aca="false">in_RevBed_Car</f>
        <v>2094</v>
      </c>
      <c r="N10" s="32" t="n">
        <f aca="false">in_RevBed_Mes</f>
        <v>2700</v>
      </c>
    </row>
    <row r="11" customFormat="false" ht="15" hidden="false" customHeight="false" outlineLevel="0" collapsed="false">
      <c r="A11" s="14" t="s">
        <v>265</v>
      </c>
      <c r="B11" s="7" t="s">
        <v>266</v>
      </c>
      <c r="C11" s="34" t="n">
        <f aca="false">calc_Profit</f>
        <v>42761.6646827451</v>
      </c>
      <c r="D11" s="6" t="s">
        <v>165</v>
      </c>
      <c r="E11" s="27" t="s">
        <v>267</v>
      </c>
      <c r="H11" s="31" t="n">
        <f aca="false">INDEX(sch_q_Mes,6)</f>
        <v>6</v>
      </c>
      <c r="I11" s="32" t="n">
        <f aca="false">IF(6&lt;=in_BedCap_Tom,INDEX(sch_MC_Tom,6),"")</f>
        <v>4906.27500000001</v>
      </c>
      <c r="J11" s="32" t="n">
        <f aca="false">IF(6&lt;=in_BedCap_Car,INDEX(sch_MC_Car,6),"")</f>
        <v>1795.33275502523</v>
      </c>
      <c r="K11" s="32" t="n">
        <f aca="false">INDEX(sch_MC_Mes,6)</f>
        <v>2667.32549241781</v>
      </c>
      <c r="L11" s="32" t="n">
        <f aca="false">in_RevBed_Tom</f>
        <v>8800</v>
      </c>
      <c r="M11" s="32" t="n">
        <f aca="false">in_RevBed_Car</f>
        <v>2094</v>
      </c>
      <c r="N11" s="32" t="n">
        <f aca="false">in_RevBed_Mes</f>
        <v>2700</v>
      </c>
    </row>
    <row r="12" customFormat="false" ht="15" hidden="false" customHeight="false" outlineLevel="0" collapsed="false">
      <c r="A12" s="6" t="s">
        <v>268</v>
      </c>
      <c r="B12" s="7" t="s">
        <v>269</v>
      </c>
      <c r="C12" s="35" t="n">
        <f aca="false">calc_Revenue</f>
        <v>210880</v>
      </c>
      <c r="D12" s="6" t="s">
        <v>165</v>
      </c>
      <c r="E12" s="27" t="s">
        <v>270</v>
      </c>
      <c r="H12" s="31" t="n">
        <f aca="false">INDEX(sch_q_Mes,7)</f>
        <v>7</v>
      </c>
      <c r="I12" s="32" t="n">
        <f aca="false">IF(7&lt;=in_BedCap_Tom,INDEX(sch_MC_Tom,7),"")</f>
        <v>5585.70890625</v>
      </c>
      <c r="J12" s="32" t="n">
        <f aca="false">IF(7&lt;=in_BedCap_Car,INDEX(sch_MC_Car,7),"")</f>
        <v>1859.41642333349</v>
      </c>
      <c r="K12" s="32" t="n">
        <f aca="false">INDEX(sch_MC_Mes,7)</f>
        <v>2710.70970131807</v>
      </c>
      <c r="L12" s="32" t="n">
        <f aca="false">in_RevBed_Tom</f>
        <v>8800</v>
      </c>
      <c r="M12" s="32" t="n">
        <f aca="false">in_RevBed_Car</f>
        <v>2094</v>
      </c>
      <c r="N12" s="32" t="n">
        <f aca="false">in_RevBed_Mes</f>
        <v>2700</v>
      </c>
    </row>
    <row r="13" customFormat="false" ht="15" hidden="false" customHeight="false" outlineLevel="0" collapsed="false">
      <c r="A13" s="6" t="s">
        <v>271</v>
      </c>
      <c r="B13" s="7" t="s">
        <v>272</v>
      </c>
      <c r="C13" s="35" t="n">
        <f aca="false">calc_LaborCost</f>
        <v>104118.335317255</v>
      </c>
      <c r="D13" s="6" t="s">
        <v>165</v>
      </c>
      <c r="E13" s="27" t="s">
        <v>273</v>
      </c>
      <c r="H13" s="31" t="n">
        <f aca="false">INDEX(sch_q_Mes,8)</f>
        <v>8</v>
      </c>
      <c r="I13" s="32" t="n">
        <f aca="false">IF(8&lt;=in_BedCap_Tom,INDEX(sch_MC_Tom,8),"")</f>
        <v>6360.76684375001</v>
      </c>
      <c r="J13" s="32" t="n">
        <f aca="false">IF(8&lt;=in_BedCap_Car,INDEX(sch_MC_Car,8),"")</f>
        <v>1925.85719208526</v>
      </c>
      <c r="K13" s="32" t="n">
        <f aca="false">INDEX(sch_MC_Mes,8)</f>
        <v>2754.89924583264</v>
      </c>
      <c r="L13" s="32" t="n">
        <f aca="false">in_RevBed_Tom</f>
        <v>8800</v>
      </c>
      <c r="M13" s="32" t="n">
        <f aca="false">in_RevBed_Car</f>
        <v>2094</v>
      </c>
      <c r="N13" s="32" t="n">
        <f aca="false">in_RevBed_Mes</f>
        <v>2700</v>
      </c>
    </row>
    <row r="14" customFormat="false" ht="15" hidden="false" customHeight="false" outlineLevel="0" collapsed="false">
      <c r="A14" s="6" t="s">
        <v>274</v>
      </c>
      <c r="B14" s="7" t="s">
        <v>275</v>
      </c>
      <c r="C14" s="35" t="n">
        <f aca="false">calc_FertCost</f>
        <v>44000</v>
      </c>
      <c r="D14" s="6" t="s">
        <v>165</v>
      </c>
      <c r="E14" s="27" t="s">
        <v>276</v>
      </c>
      <c r="H14" s="31" t="n">
        <f aca="false">INDEX(sch_q_Mes,9)</f>
        <v>9</v>
      </c>
      <c r="I14" s="32" t="n">
        <f aca="false">IF(9&lt;=in_BedCap_Tom,INDEX(sch_MC_Tom,9),"")</f>
        <v>7243.77927968751</v>
      </c>
      <c r="J14" s="32" t="n">
        <f aca="false">IF(9&lt;=in_BedCap_Car,INDEX(sch_MC_Car,9),"")</f>
        <v>1994.73286401005</v>
      </c>
      <c r="K14" s="32" t="n">
        <f aca="false">INDEX(sch_MC_Mes,9)</f>
        <v>2799.90748056925</v>
      </c>
      <c r="L14" s="32" t="n">
        <f aca="false">in_RevBed_Tom</f>
        <v>8800</v>
      </c>
      <c r="M14" s="32" t="n">
        <f aca="false">in_RevBed_Car</f>
        <v>2094</v>
      </c>
      <c r="N14" s="32" t="n">
        <f aca="false">in_RevBed_Mes</f>
        <v>2700</v>
      </c>
    </row>
    <row r="15" customFormat="false" ht="15" hidden="false" customHeight="false" outlineLevel="0" collapsed="false">
      <c r="A15" s="6" t="s">
        <v>277</v>
      </c>
      <c r="B15" s="7" t="s">
        <v>278</v>
      </c>
      <c r="C15" s="35" t="n">
        <f aca="false">calc_FixedCost</f>
        <v>20000</v>
      </c>
      <c r="D15" s="6" t="s">
        <v>165</v>
      </c>
      <c r="E15" s="27" t="s">
        <v>279</v>
      </c>
      <c r="H15" s="31" t="n">
        <f aca="false">INDEX(sch_q_Mes,10)</f>
        <v>10</v>
      </c>
      <c r="I15" s="32" t="n">
        <f aca="false">IF(10&lt;=in_BedCap_Tom,INDEX(sch_MC_Tom,10),"")</f>
        <v>8248.58653437501</v>
      </c>
      <c r="J15" s="32" t="n">
        <f aca="false">IF(10&lt;=in_BedCap_Car,INDEX(sch_MC_Car,10),"")</f>
        <v>2066.12365878602</v>
      </c>
      <c r="K15" s="32" t="n">
        <f aca="false">INDEX(sch_MC_Mes,10)</f>
        <v>2845.74796816711</v>
      </c>
      <c r="L15" s="32" t="n">
        <f aca="false">in_RevBed_Tom</f>
        <v>8800</v>
      </c>
      <c r="M15" s="32" t="n">
        <f aca="false">in_RevBed_Car</f>
        <v>2094</v>
      </c>
      <c r="N15" s="32" t="n">
        <f aca="false">in_RevBed_Mes</f>
        <v>2700</v>
      </c>
    </row>
    <row r="16" customFormat="false" ht="15" hidden="false" customHeight="false" outlineLevel="0" collapsed="false">
      <c r="A16" s="6" t="s">
        <v>169</v>
      </c>
      <c r="B16" s="7" t="s">
        <v>280</v>
      </c>
      <c r="C16" s="35" t="n">
        <f aca="false">calc_TotalCost</f>
        <v>168118.335317255</v>
      </c>
      <c r="D16" s="6" t="s">
        <v>165</v>
      </c>
      <c r="E16" s="27" t="s">
        <v>281</v>
      </c>
      <c r="H16" s="31" t="n">
        <f aca="false">INDEX(sch_q_Mes,11)</f>
        <v>11</v>
      </c>
      <c r="I16" s="32" t="n">
        <f aca="false">IF(11&lt;=in_BedCap_Tom,INDEX(sch_MC_Tom,11),"")</f>
        <v>9390.71744720313</v>
      </c>
      <c r="J16" s="32" t="n">
        <f aca="false">IF(11&lt;=in_BedCap_Car,INDEX(sch_MC_Car,11),"")</f>
        <v>2140.11228526079</v>
      </c>
      <c r="K16" s="32" t="n">
        <f aca="false">INDEX(sch_MC_Mes,11)</f>
        <v>2892.43448241108</v>
      </c>
      <c r="L16" s="32" t="n">
        <f aca="false">in_RevBed_Tom</f>
        <v>8800</v>
      </c>
      <c r="M16" s="32" t="n">
        <f aca="false">in_RevBed_Car</f>
        <v>2094</v>
      </c>
      <c r="N16" s="32" t="n">
        <f aca="false">in_RevBed_Mes</f>
        <v>2700</v>
      </c>
    </row>
    <row r="17" customFormat="false" ht="15" hidden="false" customHeight="false" outlineLevel="0" collapsed="false">
      <c r="A17" s="6" t="s">
        <v>282</v>
      </c>
      <c r="B17" s="7" t="s">
        <v>283</v>
      </c>
      <c r="C17" s="36" t="n">
        <f aca="false">calc_HoursTotal</f>
        <v>5277.21611427389</v>
      </c>
      <c r="D17" s="6" t="s">
        <v>77</v>
      </c>
      <c r="E17" s="27" t="s">
        <v>284</v>
      </c>
      <c r="H17" s="31" t="n">
        <f aca="false">INDEX(sch_q_Mes,12)</f>
        <v>12</v>
      </c>
      <c r="I17" s="32" t="n">
        <f aca="false">IF(12&lt;=in_BedCap_Tom,INDEX(sch_MC_Tom,12),"")</f>
        <v>10687.5886772532</v>
      </c>
      <c r="J17" s="32" t="n">
        <f aca="false">IF(12&lt;=in_BedCap_Car,INDEX(sch_MC_Car,12),"")</f>
        <v>2216.78401577254</v>
      </c>
      <c r="K17" s="32" t="n">
        <f aca="false">INDEX(sch_MC_Mes,12)</f>
        <v>2939.98101139112</v>
      </c>
      <c r="L17" s="32" t="n">
        <f aca="false">in_RevBed_Tom</f>
        <v>8800</v>
      </c>
      <c r="M17" s="32" t="n">
        <f aca="false">in_RevBed_Car</f>
        <v>2094</v>
      </c>
      <c r="N17" s="32" t="n">
        <f aca="false">in_RevBed_Mes</f>
        <v>2700</v>
      </c>
    </row>
    <row r="18" customFormat="false" ht="15" hidden="false" customHeight="false" outlineLevel="0" collapsed="false">
      <c r="A18" s="6" t="s">
        <v>285</v>
      </c>
      <c r="B18" s="7" t="s">
        <v>286</v>
      </c>
      <c r="C18" s="36" t="n">
        <f aca="false">calc_OwnerHoursUsed</f>
        <v>720</v>
      </c>
      <c r="D18" s="6" t="s">
        <v>77</v>
      </c>
      <c r="E18" s="27" t="s">
        <v>287</v>
      </c>
      <c r="H18" s="31" t="n">
        <f aca="false">INDEX(sch_q_Mes,13)</f>
        <v>13</v>
      </c>
      <c r="I18" s="32" t="n">
        <f aca="false">IF(13&lt;=in_BedCap_Tom,INDEX(sch_MC_Tom,13),"")</f>
        <v>12158.7269788411</v>
      </c>
      <c r="J18" s="32" t="n">
        <f aca="false">IF(13&lt;=in_BedCap_Car,INDEX(sch_MC_Car,13),"")</f>
        <v>2296.2267626316</v>
      </c>
      <c r="K18" s="32" t="n">
        <f aca="false">INDEX(sch_MC_Mes,13)</f>
        <v>2988.40176070779</v>
      </c>
      <c r="L18" s="32" t="n">
        <f aca="false">in_RevBed_Tom</f>
        <v>8800</v>
      </c>
      <c r="M18" s="32" t="n">
        <f aca="false">in_RevBed_Car</f>
        <v>2094</v>
      </c>
      <c r="N18" s="32" t="n">
        <f aca="false">in_RevBed_Mes</f>
        <v>2700</v>
      </c>
    </row>
    <row r="19" customFormat="false" ht="15" hidden="false" customHeight="false" outlineLevel="0" collapsed="false">
      <c r="A19" s="6" t="s">
        <v>288</v>
      </c>
      <c r="B19" s="7" t="s">
        <v>289</v>
      </c>
      <c r="C19" s="36" t="n">
        <f aca="false">calc_TempHoursUsed</f>
        <v>4557.21611427389</v>
      </c>
      <c r="D19" s="6" t="s">
        <v>77</v>
      </c>
      <c r="E19" s="27" t="s">
        <v>290</v>
      </c>
      <c r="H19" s="31" t="n">
        <f aca="false">INDEX(sch_q_Mes,14)</f>
        <v>14</v>
      </c>
      <c r="I19" s="32" t="n">
        <f aca="false">IF(14&lt;=in_BedCap_Tom,INDEX(sch_MC_Tom,14),"")</f>
        <v>13826.0170539742</v>
      </c>
      <c r="J19" s="32" t="n">
        <f aca="false">IF(14&lt;=in_BedCap_Car,INDEX(sch_MC_Car,14),"")</f>
        <v>2378.53115682377</v>
      </c>
      <c r="K19" s="32" t="n">
        <f aca="false">INDEX(sch_MC_Mes,14)</f>
        <v>2522.58109435517</v>
      </c>
      <c r="L19" s="32" t="n">
        <f aca="false">in_RevBed_Tom</f>
        <v>8800</v>
      </c>
      <c r="M19" s="32" t="n">
        <f aca="false">in_RevBed_Car</f>
        <v>2094</v>
      </c>
      <c r="N19" s="32" t="n">
        <f aca="false">in_RevBed_Mes</f>
        <v>2700</v>
      </c>
    </row>
    <row r="20" customFormat="false" ht="15" hidden="false" customHeight="false" outlineLevel="0" collapsed="false">
      <c r="A20" s="6" t="s">
        <v>184</v>
      </c>
      <c r="B20" s="7" t="s">
        <v>291</v>
      </c>
      <c r="C20" s="36" t="n">
        <f aca="false">calc_TempWorkers</f>
        <v>3.1647334126902</v>
      </c>
      <c r="D20" s="6" t="s">
        <v>292</v>
      </c>
      <c r="E20" s="27" t="s">
        <v>293</v>
      </c>
      <c r="H20" s="31" t="n">
        <f aca="false">INDEX(sch_q_Mes,15)</f>
        <v>15</v>
      </c>
      <c r="I20" s="32" t="n">
        <f aca="false">IF(15&lt;=in_BedCap_Tom,INDEX(sch_MC_Tom,15),"")</f>
        <v>15713.9778743454</v>
      </c>
      <c r="J20" s="32" t="n">
        <f aca="false">IF(15&lt;=in_BedCap_Car,INDEX(sch_MC_Car,15),"")</f>
        <v>2463.79062899888</v>
      </c>
      <c r="K20" s="32" t="n">
        <f aca="false">INDEX(sch_MC_Mes,15)</f>
        <v>1983.96192493309</v>
      </c>
      <c r="L20" s="32" t="n">
        <f aca="false">in_RevBed_Tom</f>
        <v>8800</v>
      </c>
      <c r="M20" s="32" t="n">
        <f aca="false">in_RevBed_Car</f>
        <v>2094</v>
      </c>
      <c r="N20" s="32" t="n">
        <f aca="false">in_RevBed_Mes</f>
        <v>2700</v>
      </c>
    </row>
    <row r="21" customFormat="false" ht="15" hidden="false" customHeight="false" outlineLevel="0" collapsed="false">
      <c r="H21" s="31" t="n">
        <f aca="false">INDEX(sch_q_Mes,16)</f>
        <v>16</v>
      </c>
      <c r="I21" s="32" t="n">
        <f aca="false">IF(16&lt;=in_BedCap_Tom,INDEX(sch_MC_Tom,16),"")</f>
        <v>17850.0706882511</v>
      </c>
      <c r="J21" s="32" t="n">
        <f aca="false">IF(16&lt;=in_BedCap_Car,INDEX(sch_MC_Car,16),"")</f>
        <v>2552.10149280974</v>
      </c>
      <c r="K21" s="32" t="n">
        <f aca="false">INDEX(sch_MC_Mes,16)</f>
        <v>2009.52735898419</v>
      </c>
      <c r="L21" s="32" t="n">
        <f aca="false">in_RevBed_Tom</f>
        <v>8800</v>
      </c>
      <c r="M21" s="32" t="n">
        <f aca="false">in_RevBed_Car</f>
        <v>2094</v>
      </c>
      <c r="N21" s="32" t="n">
        <f aca="false">in_RevBed_Mes</f>
        <v>2700</v>
      </c>
    </row>
    <row r="22" customFormat="false" ht="15" hidden="false" customHeight="false" outlineLevel="0" collapsed="false">
      <c r="A22" s="4" t="s">
        <v>294</v>
      </c>
      <c r="B22" s="4"/>
      <c r="C22" s="4"/>
      <c r="D22" s="4"/>
      <c r="E22" s="4"/>
      <c r="F22" s="4"/>
      <c r="H22" s="31" t="n">
        <f aca="false">INDEX(sch_q_Mes,17)</f>
        <v>17</v>
      </c>
      <c r="I22" s="32" t="n">
        <f aca="false">IF(17&lt;=in_BedCap_Tom,INDEX(sch_MC_Tom,17),"")</f>
        <v>20265.0422861946</v>
      </c>
      <c r="J22" s="32" t="n">
        <f aca="false">IF(17&lt;=in_BedCap_Car,INDEX(sch_MC_Car,17),"")</f>
        <v>1670.90134316266</v>
      </c>
      <c r="K22" s="32" t="n">
        <f aca="false">INDEX(sch_MC_Mes,17)</f>
        <v>2035.55943483576</v>
      </c>
      <c r="L22" s="32" t="n">
        <f aca="false">in_RevBed_Tom</f>
        <v>8800</v>
      </c>
      <c r="M22" s="32" t="n">
        <f aca="false">in_RevBed_Car</f>
        <v>2094</v>
      </c>
      <c r="N22" s="32" t="n">
        <f aca="false">in_RevBed_Mes</f>
        <v>2700</v>
      </c>
    </row>
    <row r="23" customFormat="false" ht="15" hidden="false" customHeight="false" outlineLevel="0" collapsed="false">
      <c r="A23" s="5" t="s">
        <v>230</v>
      </c>
      <c r="B23" s="5" t="s">
        <v>231</v>
      </c>
      <c r="C23" s="5" t="s">
        <v>232</v>
      </c>
      <c r="D23" s="5" t="s">
        <v>233</v>
      </c>
      <c r="E23" s="5" t="s">
        <v>234</v>
      </c>
      <c r="F23" s="5"/>
      <c r="H23" s="31" t="n">
        <f aca="false">INDEX(sch_q_Mes,18)</f>
        <v>18</v>
      </c>
      <c r="I23" s="32" t="n">
        <f aca="false">IF(18&lt;=in_BedCap_Tom,INDEX(sch_MC_Tom,18),"")</f>
        <v>22993.3074968441</v>
      </c>
      <c r="J23" s="32" t="n">
        <f aca="false">IF(18&lt;=in_BedCap_Car,INDEX(sch_MC_Car,18),"")</f>
        <v>1589.13879099311</v>
      </c>
      <c r="K23" s="32" t="n">
        <f aca="false">INDEX(sch_MC_Mes,18)</f>
        <v>2062.06582393381</v>
      </c>
      <c r="L23" s="32" t="n">
        <f aca="false">in_RevBed_Tom</f>
        <v>8800</v>
      </c>
      <c r="M23" s="32" t="n">
        <f aca="false">in_RevBed_Car</f>
        <v>2094</v>
      </c>
      <c r="N23" s="32" t="n">
        <f aca="false">in_RevBed_Mes</f>
        <v>2700</v>
      </c>
    </row>
    <row r="24" customFormat="false" ht="15" hidden="false" customHeight="false" outlineLevel="0" collapsed="false">
      <c r="A24" s="6" t="s">
        <v>133</v>
      </c>
      <c r="B24" s="35" t="n">
        <f aca="false">calc_IncLast_Tom</f>
        <v>8248.58653437501</v>
      </c>
      <c r="C24" s="35" t="n">
        <f aca="false">calc_IncNext_Tom</f>
        <v>9390.71744720313</v>
      </c>
      <c r="D24" s="35" t="n">
        <f aca="false">in_RevBed_Tom</f>
        <v>8800</v>
      </c>
      <c r="E24" s="37" t="str">
        <f aca="false">out_StopReason_Tom</f>
        <v>economic</v>
      </c>
      <c r="H24" s="31" t="n">
        <f aca="false">INDEX(sch_q_Mes,19)</f>
        <v>19</v>
      </c>
      <c r="I24" s="32" t="n">
        <f aca="false">IF(19&lt;=in_BedCap_Tom,INDEX(sch_MC_Tom,19),"")</f>
        <v>26073.3753267617</v>
      </c>
      <c r="J24" s="32" t="n">
        <f aca="false">IF(19&lt;=in_BedCap_Car,INDEX(sch_MC_Car,19),"")</f>
        <v>1638.17531698807</v>
      </c>
      <c r="K24" s="32" t="n">
        <f aca="false">INDEX(sch_MC_Mes,19)</f>
        <v>2089.05431659761</v>
      </c>
      <c r="L24" s="32" t="n">
        <f aca="false">in_RevBed_Tom</f>
        <v>8800</v>
      </c>
      <c r="M24" s="32" t="n">
        <f aca="false">in_RevBed_Car</f>
        <v>2094</v>
      </c>
      <c r="N24" s="32" t="n">
        <f aca="false">in_RevBed_Mes</f>
        <v>2700</v>
      </c>
    </row>
    <row r="25" customFormat="false" ht="15" hidden="false" customHeight="false" outlineLevel="0" collapsed="false">
      <c r="A25" s="6" t="s">
        <v>134</v>
      </c>
      <c r="B25" s="35" t="n">
        <f aca="false">calc_IncLast_Car</f>
        <v>1688.94545753843</v>
      </c>
      <c r="C25" s="35" t="n">
        <f aca="false">calc_IncNext_Car</f>
        <v>1741.50524554314</v>
      </c>
      <c r="D25" s="35" t="n">
        <f aca="false">in_RevBed_Car</f>
        <v>2094</v>
      </c>
      <c r="E25" s="37" t="str">
        <f aca="false">out_StopReason_Car</f>
        <v>at cap</v>
      </c>
      <c r="H25" s="31" t="n">
        <f aca="false">INDEX(sch_q_Mes,20)</f>
        <v>20</v>
      </c>
      <c r="I25" s="32" t="n">
        <f aca="false">IF(20&lt;=in_BedCap_Tom,INDEX(sch_MC_Tom,20),"")</f>
        <v>29548.3236476944</v>
      </c>
      <c r="J25" s="32" t="n">
        <f aca="false">IF(20&lt;=in_BedCap_Car,INDEX(sch_MC_Car,20),"")</f>
        <v>1688.9454575384</v>
      </c>
      <c r="K25" s="32" t="n">
        <f aca="false">INDEX(sch_MC_Mes,20)</f>
        <v>2116.532823793</v>
      </c>
      <c r="L25" s="32" t="n">
        <f aca="false">in_RevBed_Tom</f>
        <v>8800</v>
      </c>
      <c r="M25" s="32" t="n">
        <f aca="false">in_RevBed_Car</f>
        <v>2094</v>
      </c>
      <c r="N25" s="32" t="n">
        <f aca="false">in_RevBed_Mes</f>
        <v>2700</v>
      </c>
    </row>
    <row r="26" customFormat="false" ht="15" hidden="false" customHeight="false" outlineLevel="0" collapsed="false">
      <c r="A26" s="6" t="s">
        <v>135</v>
      </c>
      <c r="B26" s="35" t="n">
        <f aca="false">calc_IncLast_Mes</f>
        <v>2420.09905093352</v>
      </c>
      <c r="C26" s="35" t="n">
        <f aca="false">calc_IncNext_Mes</f>
        <v>2453.52620078898</v>
      </c>
      <c r="D26" s="35" t="n">
        <f aca="false">in_RevBed_Mes</f>
        <v>2700</v>
      </c>
      <c r="E26" s="37" t="str">
        <f aca="false">out_StopReason_Mes</f>
        <v>at cap</v>
      </c>
      <c r="H26" s="31" t="n">
        <f aca="false">INDEX(sch_q_Mes,21)</f>
        <v>21</v>
      </c>
      <c r="I26" s="32" t="str">
        <f aca="false">IF(21&lt;=in_BedCap_Tom,INDEX(sch_MC_Tom,21),"")</f>
        <v/>
      </c>
      <c r="J26" s="32" t="str">
        <f aca="false">IF(21&lt;=in_BedCap_Car,INDEX(sch_MC_Car,21),"")</f>
        <v/>
      </c>
      <c r="K26" s="32" t="n">
        <f aca="false">INDEX(sch_MC_Mes,21)</f>
        <v>2144.50937893132</v>
      </c>
      <c r="L26" s="32" t="n">
        <f aca="false">in_RevBed_Tom</f>
        <v>8800</v>
      </c>
      <c r="M26" s="32" t="n">
        <f aca="false">in_RevBed_Car</f>
        <v>2094</v>
      </c>
      <c r="N26" s="32" t="n">
        <f aca="false">in_RevBed_Mes</f>
        <v>2700</v>
      </c>
    </row>
    <row r="27" customFormat="false" ht="15" hidden="false" customHeight="false" outlineLevel="0" collapsed="false">
      <c r="H27" s="31" t="n">
        <f aca="false">INDEX(sch_q_Mes,22)</f>
        <v>22</v>
      </c>
      <c r="I27" s="32" t="str">
        <f aca="false">IF(22&lt;=in_BedCap_Tom,INDEX(sch_MC_Tom,22),"")</f>
        <v/>
      </c>
      <c r="J27" s="32" t="str">
        <f aca="false">IF(22&lt;=in_BedCap_Car,INDEX(sch_MC_Car,22),"")</f>
        <v/>
      </c>
      <c r="K27" s="32" t="n">
        <f aca="false">INDEX(sch_MC_Mes,22)</f>
        <v>2172.99213969438</v>
      </c>
      <c r="L27" s="32" t="n">
        <f aca="false">in_RevBed_Tom</f>
        <v>8800</v>
      </c>
      <c r="M27" s="32" t="n">
        <f aca="false">in_RevBed_Car</f>
        <v>2094</v>
      </c>
      <c r="N27" s="32" t="n">
        <f aca="false">in_RevBed_Mes</f>
        <v>2700</v>
      </c>
    </row>
    <row r="28" customFormat="false" ht="15" hidden="false" customHeight="false" outlineLevel="0" collapsed="false">
      <c r="A28" s="14" t="s">
        <v>295</v>
      </c>
      <c r="B28" s="38" t="str">
        <f aca="false">IF(dec_Beds_Car&gt;=in_BedCap_Car,"carrot cap, ","")&amp;IF(dec_Beds_Mes&gt;=in_BedCap_Mes,"mesclun cap, ","")&amp;IF(ROUND(calc_OwnerHoursUsed-in_OwnerFieldHrs,6)=0,"owner field hours","")</f>
        <v>carrot cap, mesclun cap, owner field hours</v>
      </c>
      <c r="C28" s="38"/>
      <c r="D28" s="38"/>
      <c r="E28" s="38"/>
      <c r="H28" s="31" t="n">
        <f aca="false">INDEX(sch_q_Mes,23)</f>
        <v>23</v>
      </c>
      <c r="I28" s="32" t="str">
        <f aca="false">IF(23&lt;=in_BedCap_Tom,INDEX(sch_MC_Tom,23),"")</f>
        <v/>
      </c>
      <c r="J28" s="32" t="str">
        <f aca="false">IF(23&lt;=in_BedCap_Car,INDEX(sch_MC_Car,23),"")</f>
        <v/>
      </c>
      <c r="K28" s="32" t="n">
        <f aca="false">INDEX(sch_MC_Mes,23)</f>
        <v>2201.98938988605</v>
      </c>
      <c r="L28" s="32" t="n">
        <f aca="false">in_RevBed_Tom</f>
        <v>8800</v>
      </c>
      <c r="M28" s="32" t="n">
        <f aca="false">in_RevBed_Car</f>
        <v>2094</v>
      </c>
      <c r="N28" s="32" t="n">
        <f aca="false">in_RevBed_Mes</f>
        <v>2700</v>
      </c>
    </row>
    <row r="29" customFormat="false" ht="15" hidden="false" customHeight="false" outlineLevel="0" collapsed="false">
      <c r="A29" s="14" t="s">
        <v>296</v>
      </c>
      <c r="B29" s="38" t="str">
        <f aca="false">CHK_PASSED&amp;" / "&amp;CHK_TOTAL</f>
        <v>54 / 54</v>
      </c>
      <c r="H29" s="31" t="n">
        <f aca="false">INDEX(sch_q_Mes,24)</f>
        <v>24</v>
      </c>
      <c r="I29" s="32" t="str">
        <f aca="false">IF(24&lt;=in_BedCap_Tom,INDEX(sch_MC_Tom,24),"")</f>
        <v/>
      </c>
      <c r="J29" s="32" t="str">
        <f aca="false">IF(24&lt;=in_BedCap_Car,INDEX(sch_MC_Car,24),"")</f>
        <v/>
      </c>
      <c r="K29" s="32" t="n">
        <f aca="false">INDEX(sch_MC_Mes,24)</f>
        <v>2231.50954131069</v>
      </c>
      <c r="L29" s="32" t="n">
        <f aca="false">in_RevBed_Tom</f>
        <v>8800</v>
      </c>
      <c r="M29" s="32" t="n">
        <f aca="false">in_RevBed_Car</f>
        <v>2094</v>
      </c>
      <c r="N29" s="32" t="n">
        <f aca="false">in_RevBed_Mes</f>
        <v>2700</v>
      </c>
    </row>
    <row r="30" customFormat="false" ht="15" hidden="false" customHeight="false" outlineLevel="0" collapsed="false">
      <c r="H30" s="31" t="n">
        <f aca="false">INDEX(sch_q_Mes,25)</f>
        <v>25</v>
      </c>
      <c r="I30" s="32" t="str">
        <f aca="false">IF(25&lt;=in_BedCap_Tom,INDEX(sch_MC_Tom,25),"")</f>
        <v/>
      </c>
      <c r="J30" s="32" t="str">
        <f aca="false">IF(25&lt;=in_BedCap_Car,INDEX(sch_MC_Car,25),"")</f>
        <v/>
      </c>
      <c r="K30" s="32" t="n">
        <f aca="false">INDEX(sch_MC_Mes,25)</f>
        <v>2261.56113567878</v>
      </c>
      <c r="L30" s="32" t="n">
        <f aca="false">in_RevBed_Tom</f>
        <v>8800</v>
      </c>
      <c r="M30" s="32" t="n">
        <f aca="false">in_RevBed_Car</f>
        <v>2094</v>
      </c>
      <c r="N30" s="32" t="n">
        <f aca="false">in_RevBed_Mes</f>
        <v>2700</v>
      </c>
    </row>
    <row r="31" customFormat="false" ht="15" hidden="false" customHeight="false" outlineLevel="0" collapsed="false">
      <c r="H31" s="31" t="n">
        <f aca="false">INDEX(sch_q_Mes,26)</f>
        <v>26</v>
      </c>
      <c r="I31" s="32" t="str">
        <f aca="false">IF(26&lt;=in_BedCap_Tom,INDEX(sch_MC_Tom,26),"")</f>
        <v/>
      </c>
      <c r="J31" s="32" t="str">
        <f aca="false">IF(26&lt;=in_BedCap_Car,INDEX(sch_MC_Car,26),"")</f>
        <v/>
      </c>
      <c r="K31" s="32" t="n">
        <f aca="false">INDEX(sch_MC_Mes,26)</f>
        <v>2292.15284654023</v>
      </c>
      <c r="L31" s="32" t="n">
        <f aca="false">in_RevBed_Tom</f>
        <v>8800</v>
      </c>
      <c r="M31" s="32" t="n">
        <f aca="false">in_RevBed_Car</f>
        <v>2094</v>
      </c>
      <c r="N31" s="32" t="n">
        <f aca="false">in_RevBed_Mes</f>
        <v>2700</v>
      </c>
    </row>
    <row r="32" customFormat="false" ht="15" hidden="false" customHeight="false" outlineLevel="0" collapsed="false">
      <c r="H32" s="31" t="n">
        <f aca="false">INDEX(sch_q_Mes,27)</f>
        <v>27</v>
      </c>
      <c r="I32" s="32" t="str">
        <f aca="false">IF(27&lt;=in_BedCap_Tom,INDEX(sch_MC_Tom,27),"")</f>
        <v/>
      </c>
      <c r="J32" s="32" t="str">
        <f aca="false">IF(27&lt;=in_BedCap_Car,INDEX(sch_MC_Car,27),"")</f>
        <v/>
      </c>
      <c r="K32" s="32" t="n">
        <f aca="false">INDEX(sch_MC_Mes,27)</f>
        <v>2323.29348124578</v>
      </c>
      <c r="L32" s="32" t="n">
        <f aca="false">in_RevBed_Tom</f>
        <v>8800</v>
      </c>
      <c r="M32" s="32" t="n">
        <f aca="false">in_RevBed_Car</f>
        <v>2094</v>
      </c>
      <c r="N32" s="32" t="n">
        <f aca="false">in_RevBed_Mes</f>
        <v>2700</v>
      </c>
    </row>
    <row r="33" customFormat="false" ht="15" hidden="false" customHeight="false" outlineLevel="0" collapsed="false">
      <c r="H33" s="31" t="n">
        <f aca="false">INDEX(sch_q_Mes,28)</f>
        <v>28</v>
      </c>
      <c r="I33" s="32" t="str">
        <f aca="false">IF(28&lt;=in_BedCap_Tom,INDEX(sch_MC_Tom,28),"")</f>
        <v/>
      </c>
      <c r="J33" s="32" t="str">
        <f aca="false">IF(28&lt;=in_BedCap_Car,INDEX(sch_MC_Car,28),"")</f>
        <v/>
      </c>
      <c r="K33" s="32" t="n">
        <f aca="false">INDEX(sch_MC_Mes,28)</f>
        <v>2354.9919829367</v>
      </c>
      <c r="L33" s="32" t="n">
        <f aca="false">in_RevBed_Tom</f>
        <v>8800</v>
      </c>
      <c r="M33" s="32" t="n">
        <f aca="false">in_RevBed_Car</f>
        <v>2094</v>
      </c>
      <c r="N33" s="32" t="n">
        <f aca="false">in_RevBed_Mes</f>
        <v>2700</v>
      </c>
    </row>
    <row r="34" customFormat="false" ht="15" hidden="false" customHeight="false" outlineLevel="0" collapsed="false">
      <c r="H34" s="31" t="n">
        <f aca="false">INDEX(sch_q_Mes,29)</f>
        <v>29</v>
      </c>
      <c r="I34" s="32" t="str">
        <f aca="false">IF(29&lt;=in_BedCap_Tom,INDEX(sch_MC_Tom,29),"")</f>
        <v/>
      </c>
      <c r="J34" s="32" t="str">
        <f aca="false">IF(29&lt;=in_BedCap_Car,INDEX(sch_MC_Car,29),"")</f>
        <v/>
      </c>
      <c r="K34" s="32" t="n">
        <f aca="false">INDEX(sch_MC_Mes,29)</f>
        <v>2387.25743256342</v>
      </c>
      <c r="L34" s="32" t="n">
        <f aca="false">in_RevBed_Tom</f>
        <v>8800</v>
      </c>
      <c r="M34" s="32" t="n">
        <f aca="false">in_RevBed_Car</f>
        <v>2094</v>
      </c>
      <c r="N34" s="32" t="n">
        <f aca="false">in_RevBed_Mes</f>
        <v>2700</v>
      </c>
    </row>
    <row r="35" customFormat="false" ht="15" hidden="false" customHeight="false" outlineLevel="0" collapsed="false">
      <c r="H35" s="31" t="n">
        <f aca="false">INDEX(sch_q_Mes,30)</f>
        <v>30</v>
      </c>
      <c r="I35" s="32" t="str">
        <f aca="false">IF(30&lt;=in_BedCap_Tom,INDEX(sch_MC_Tom,30),"")</f>
        <v/>
      </c>
      <c r="J35" s="32" t="str">
        <f aca="false">IF(30&lt;=in_BedCap_Car,INDEX(sch_MC_Car,30),"")</f>
        <v/>
      </c>
      <c r="K35" s="32" t="n">
        <f aca="false">INDEX(sch_MC_Mes,30)</f>
        <v>2420.09905093351</v>
      </c>
      <c r="L35" s="32" t="n">
        <f aca="false">in_RevBed_Tom</f>
        <v>8800</v>
      </c>
      <c r="M35" s="32" t="n">
        <f aca="false">in_RevBed_Car</f>
        <v>2094</v>
      </c>
      <c r="N35" s="32" t="n">
        <f aca="false">in_RevBed_Mes</f>
        <v>2700</v>
      </c>
    </row>
    <row r="54" customFormat="false" ht="15" hidden="false" customHeight="false" outlineLevel="0" collapsed="false">
      <c r="A54" s="3" t="s">
        <v>297</v>
      </c>
      <c r="B54" s="3"/>
      <c r="C54" s="3"/>
      <c r="D54" s="3"/>
      <c r="E54" s="3"/>
      <c r="F54" s="3"/>
    </row>
  </sheetData>
  <mergeCells count="7">
    <mergeCell ref="A1:F1"/>
    <mergeCell ref="A2:F2"/>
    <mergeCell ref="A3:F3"/>
    <mergeCell ref="A5:F5"/>
    <mergeCell ref="A22:F22"/>
    <mergeCell ref="B28:E28"/>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4"/>
    <col collapsed="false" customWidth="true" hidden="false" outlineLevel="0" max="4" min="3" style="0" width="17"/>
    <col collapsed="false" customWidth="true" hidden="false" outlineLevel="0" max="6" min="5" style="0" width="11"/>
    <col collapsed="false" customWidth="true" hidden="false" outlineLevel="0" max="14" min="7" style="0" width="12"/>
  </cols>
  <sheetData>
    <row r="1" customFormat="false" ht="25.5" hidden="false" customHeight="true" outlineLevel="0" collapsed="false">
      <c r="A1" s="1" t="s">
        <v>298</v>
      </c>
      <c r="B1" s="1"/>
      <c r="C1" s="1"/>
      <c r="D1" s="1"/>
      <c r="E1" s="1"/>
      <c r="F1" s="1"/>
    </row>
    <row r="2" customFormat="false" ht="15.75" hidden="false" customHeight="true" outlineLevel="0" collapsed="false">
      <c r="A2" s="2" t="s">
        <v>299</v>
      </c>
      <c r="B2" s="2"/>
      <c r="C2" s="2"/>
      <c r="D2" s="2"/>
      <c r="E2" s="2"/>
      <c r="F2" s="2"/>
    </row>
    <row r="3" customFormat="false" ht="15" hidden="false" customHeight="false" outlineLevel="0" collapsed="false">
      <c r="A3" s="3" t="s">
        <v>300</v>
      </c>
      <c r="B3" s="3"/>
      <c r="C3" s="3"/>
      <c r="D3" s="3"/>
      <c r="E3" s="3"/>
      <c r="F3" s="3"/>
    </row>
    <row r="5" customFormat="false" ht="15" hidden="false" customHeight="false" outlineLevel="0" collapsed="false">
      <c r="A5" s="4" t="s">
        <v>301</v>
      </c>
      <c r="B5" s="4"/>
      <c r="C5" s="4"/>
      <c r="D5" s="4"/>
      <c r="E5" s="4"/>
      <c r="F5" s="4"/>
    </row>
    <row r="6" customFormat="false" ht="15" hidden="false" customHeight="false" outlineLevel="0" collapsed="false">
      <c r="A6" s="5" t="s">
        <v>302</v>
      </c>
      <c r="B6" s="5" t="s">
        <v>303</v>
      </c>
      <c r="C6" s="5" t="s">
        <v>304</v>
      </c>
      <c r="D6" s="5" t="s">
        <v>305</v>
      </c>
      <c r="E6" s="5" t="s">
        <v>306</v>
      </c>
      <c r="F6" s="5" t="s">
        <v>307</v>
      </c>
    </row>
    <row r="7" customFormat="false" ht="23.85" hidden="false" customHeight="false" outlineLevel="0" collapsed="false">
      <c r="A7" s="7" t="s">
        <v>308</v>
      </c>
      <c r="B7" s="39" t="s">
        <v>309</v>
      </c>
      <c r="C7" s="17" t="n">
        <f aca="false">ROUND(calc_Profit,0)</f>
        <v>42762</v>
      </c>
      <c r="D7" s="40" t="n">
        <v>42762</v>
      </c>
      <c r="E7" s="41" t="n">
        <v>0</v>
      </c>
      <c r="F7" s="42" t="str">
        <f aca="false">IF(ABS(C7-D7)&lt;=E7,"PASS","FAIL")</f>
        <v>PASS</v>
      </c>
    </row>
    <row r="8" customFormat="false" ht="23.85" hidden="false" customHeight="false" outlineLevel="0" collapsed="false">
      <c r="A8" s="7" t="s">
        <v>310</v>
      </c>
      <c r="B8" s="39" t="s">
        <v>311</v>
      </c>
      <c r="C8" s="18" t="str">
        <f aca="false">dec_Beds_Tom&amp;" / "&amp;dec_Beds_Car&amp;" / "&amp;dec_Beds_Mes</f>
        <v>10 / 20 / 30</v>
      </c>
      <c r="D8" s="43" t="s">
        <v>312</v>
      </c>
      <c r="F8" s="42" t="str">
        <f aca="false">IF(EXACT(C8,D8),"PASS","FAIL")</f>
        <v>PASS</v>
      </c>
    </row>
    <row r="9" customFormat="false" ht="23.85" hidden="false" customHeight="false" outlineLevel="0" collapsed="false">
      <c r="A9" s="7" t="s">
        <v>313</v>
      </c>
      <c r="B9" s="39" t="s">
        <v>314</v>
      </c>
      <c r="C9" s="11" t="n">
        <f aca="false">COUNTIF(NB_Beats,"BEATS")</f>
        <v>0</v>
      </c>
      <c r="D9" s="10" t="n">
        <v>0</v>
      </c>
      <c r="E9" s="41" t="n">
        <v>0</v>
      </c>
      <c r="F9" s="42" t="str">
        <f aca="false">IF(ABS(C9-D9)&lt;=E9,"PASS","FAIL")</f>
        <v>PASS</v>
      </c>
    </row>
    <row r="11" customFormat="false" ht="15" hidden="false" customHeight="false" outlineLevel="0" collapsed="false">
      <c r="A11" s="4" t="s">
        <v>315</v>
      </c>
      <c r="B11" s="4"/>
      <c r="C11" s="4"/>
      <c r="D11" s="4"/>
      <c r="E11" s="4"/>
      <c r="F11" s="4"/>
    </row>
    <row r="12" customFormat="false" ht="15" hidden="false" customHeight="false" outlineLevel="0" collapsed="false">
      <c r="A12" s="5" t="s">
        <v>302</v>
      </c>
      <c r="B12" s="5" t="s">
        <v>303</v>
      </c>
      <c r="C12" s="5" t="s">
        <v>304</v>
      </c>
      <c r="D12" s="5" t="s">
        <v>305</v>
      </c>
      <c r="E12" s="5" t="s">
        <v>306</v>
      </c>
      <c r="F12" s="5" t="s">
        <v>307</v>
      </c>
    </row>
    <row r="13" customFormat="false" ht="15" hidden="false" customHeight="false" outlineLevel="0" collapsed="false">
      <c r="A13" s="7" t="s">
        <v>316</v>
      </c>
      <c r="B13" s="39" t="s">
        <v>163</v>
      </c>
      <c r="C13" s="17" t="n">
        <f aca="false">calc_Revenue</f>
        <v>210880</v>
      </c>
      <c r="D13" s="40" t="n">
        <v>210880</v>
      </c>
      <c r="E13" s="41" t="n">
        <v>0.01</v>
      </c>
      <c r="F13" s="42" t="str">
        <f aca="false">IF(ABS(C13-D13)&lt;=E13,"PASS","FAIL")</f>
        <v>PASS</v>
      </c>
    </row>
    <row r="14" customFormat="false" ht="15" hidden="false" customHeight="false" outlineLevel="0" collapsed="false">
      <c r="A14" s="7" t="s">
        <v>317</v>
      </c>
      <c r="B14" s="39" t="s">
        <v>318</v>
      </c>
      <c r="C14" s="17" t="n">
        <f aca="false">calc_FertCost</f>
        <v>44000</v>
      </c>
      <c r="D14" s="40" t="n">
        <v>44000</v>
      </c>
      <c r="E14" s="41" t="n">
        <v>0.01</v>
      </c>
      <c r="F14" s="42" t="str">
        <f aca="false">IF(ABS(C14-D14)&lt;=E14,"PASS","FAIL")</f>
        <v>PASS</v>
      </c>
    </row>
    <row r="15" customFormat="false" ht="15" hidden="false" customHeight="false" outlineLevel="0" collapsed="false">
      <c r="A15" s="7" t="s">
        <v>319</v>
      </c>
      <c r="B15" s="39" t="s">
        <v>320</v>
      </c>
      <c r="C15" s="17" t="n">
        <f aca="false">calc_LaborCost</f>
        <v>104118.335317255</v>
      </c>
      <c r="D15" s="40" t="n">
        <v>104118.34</v>
      </c>
      <c r="E15" s="41" t="n">
        <v>0.01</v>
      </c>
      <c r="F15" s="42" t="str">
        <f aca="false">IF(ABS(C15-D15)&lt;=E15,"PASS","FAIL")</f>
        <v>PASS</v>
      </c>
    </row>
    <row r="16" customFormat="false" ht="15" hidden="false" customHeight="false" outlineLevel="0" collapsed="false">
      <c r="A16" s="7" t="s">
        <v>321</v>
      </c>
      <c r="B16" s="39" t="s">
        <v>277</v>
      </c>
      <c r="C16" s="17" t="n">
        <f aca="false">calc_FixedCost</f>
        <v>20000</v>
      </c>
      <c r="D16" s="40" t="n">
        <v>20000</v>
      </c>
      <c r="E16" s="41" t="n">
        <v>0.01</v>
      </c>
      <c r="F16" s="42" t="str">
        <f aca="false">IF(ABS(C16-D16)&lt;=E16,"PASS","FAIL")</f>
        <v>PASS</v>
      </c>
    </row>
    <row r="17" customFormat="false" ht="15" hidden="false" customHeight="false" outlineLevel="0" collapsed="false">
      <c r="A17" s="7" t="s">
        <v>322</v>
      </c>
      <c r="B17" s="39" t="s">
        <v>323</v>
      </c>
      <c r="C17" s="17" t="n">
        <f aca="false">calc_TotalCost</f>
        <v>168118.335317255</v>
      </c>
      <c r="D17" s="40" t="n">
        <v>168118.34</v>
      </c>
      <c r="E17" s="41" t="n">
        <v>0.01</v>
      </c>
      <c r="F17" s="42" t="str">
        <f aca="false">IF(ABS(C17-D17)&lt;=E17,"PASS","FAIL")</f>
        <v>PASS</v>
      </c>
    </row>
    <row r="18" customFormat="false" ht="15" hidden="false" customHeight="false" outlineLevel="0" collapsed="false">
      <c r="A18" s="7" t="s">
        <v>324</v>
      </c>
      <c r="B18" s="39" t="s">
        <v>325</v>
      </c>
      <c r="C18" s="17" t="n">
        <f aca="false">calc_OwnerHoursUsed*rate_Owner</f>
        <v>25000</v>
      </c>
      <c r="D18" s="40" t="n">
        <v>25000</v>
      </c>
      <c r="E18" s="41" t="n">
        <v>0.01</v>
      </c>
      <c r="F18" s="42" t="str">
        <f aca="false">IF(ABS(C18-D18)&lt;=E18,"PASS","FAIL")</f>
        <v>PASS</v>
      </c>
    </row>
    <row r="19" customFormat="false" ht="15" hidden="false" customHeight="false" outlineLevel="0" collapsed="false">
      <c r="A19" s="7" t="s">
        <v>326</v>
      </c>
      <c r="B19" s="39" t="s">
        <v>327</v>
      </c>
      <c r="C19" s="17" t="n">
        <f aca="false">calc_TempHoursUsed*rate_Temp</f>
        <v>79118.335317255</v>
      </c>
      <c r="D19" s="40" t="n">
        <v>79118.34</v>
      </c>
      <c r="E19" s="41" t="n">
        <v>0.01</v>
      </c>
      <c r="F19" s="42" t="str">
        <f aca="false">IF(ABS(C19-D19)&lt;=E19,"PASS","FAIL")</f>
        <v>PASS</v>
      </c>
    </row>
    <row r="21" customFormat="false" ht="15" hidden="false" customHeight="false" outlineLevel="0" collapsed="false">
      <c r="A21" s="4" t="s">
        <v>328</v>
      </c>
      <c r="B21" s="4"/>
      <c r="C21" s="4"/>
      <c r="D21" s="4"/>
      <c r="E21" s="4"/>
      <c r="F21" s="4"/>
    </row>
    <row r="22" customFormat="false" ht="15" hidden="false" customHeight="false" outlineLevel="0" collapsed="false">
      <c r="A22" s="5" t="s">
        <v>302</v>
      </c>
      <c r="B22" s="5" t="s">
        <v>303</v>
      </c>
      <c r="C22" s="5" t="s">
        <v>304</v>
      </c>
      <c r="D22" s="5" t="s">
        <v>305</v>
      </c>
      <c r="E22" s="5" t="s">
        <v>306</v>
      </c>
      <c r="F22" s="5" t="s">
        <v>307</v>
      </c>
    </row>
    <row r="23" customFormat="false" ht="15" hidden="false" customHeight="false" outlineLevel="0" collapsed="false">
      <c r="A23" s="7" t="s">
        <v>329</v>
      </c>
      <c r="B23" s="39" t="s">
        <v>330</v>
      </c>
      <c r="C23" s="11" t="n">
        <f aca="false">INDEX(sch_Hours_Tom,1)</f>
        <v>99</v>
      </c>
      <c r="D23" s="10" t="n">
        <v>99</v>
      </c>
      <c r="E23" s="41" t="n">
        <v>0.01</v>
      </c>
      <c r="F23" s="42" t="str">
        <f aca="false">IF(ABS(C23-D23)&lt;=E23,"PASS","FAIL")</f>
        <v>PASS</v>
      </c>
    </row>
    <row r="24" customFormat="false" ht="15" hidden="false" customHeight="false" outlineLevel="0" collapsed="false">
      <c r="A24" s="7" t="s">
        <v>331</v>
      </c>
      <c r="B24" s="39" t="s">
        <v>332</v>
      </c>
      <c r="C24" s="11" t="n">
        <f aca="false">INDEX(sch_Hours_Tom,2)</f>
        <v>217.8</v>
      </c>
      <c r="D24" s="10" t="n">
        <v>217.8</v>
      </c>
      <c r="E24" s="41" t="n">
        <v>0.01</v>
      </c>
      <c r="F24" s="42" t="str">
        <f aca="false">IF(ABS(C24-D24)&lt;=E24,"PASS","FAIL")</f>
        <v>PASS</v>
      </c>
    </row>
    <row r="25" customFormat="false" ht="15" hidden="false" customHeight="false" outlineLevel="0" collapsed="false">
      <c r="A25" s="7" t="s">
        <v>333</v>
      </c>
      <c r="B25" s="39" t="s">
        <v>334</v>
      </c>
      <c r="C25" s="11" t="n">
        <f aca="false">INDEX(sch_MgHours_Tom,2)</f>
        <v>118.8</v>
      </c>
      <c r="D25" s="10" t="n">
        <v>118.8</v>
      </c>
      <c r="E25" s="41" t="n">
        <v>0.01</v>
      </c>
      <c r="F25" s="42" t="str">
        <f aca="false">IF(ABS(C25-D25)&lt;=E25,"PASS","FAIL")</f>
        <v>PASS</v>
      </c>
    </row>
    <row r="26" customFormat="false" ht="15" hidden="false" customHeight="false" outlineLevel="0" collapsed="false">
      <c r="A26" s="7" t="s">
        <v>335</v>
      </c>
      <c r="B26" s="39" t="s">
        <v>336</v>
      </c>
      <c r="C26" s="11" t="n">
        <f aca="false">INDEX(sch_Hours_Tom,3)</f>
        <v>359.37</v>
      </c>
      <c r="D26" s="10" t="n">
        <v>359.37</v>
      </c>
      <c r="E26" s="41" t="n">
        <v>0.01</v>
      </c>
      <c r="F26" s="42" t="str">
        <f aca="false">IF(ABS(C26-D26)&lt;=E26,"PASS","FAIL")</f>
        <v>PASS</v>
      </c>
    </row>
    <row r="27" customFormat="false" ht="15" hidden="false" customHeight="false" outlineLevel="0" collapsed="false">
      <c r="A27" s="7" t="s">
        <v>337</v>
      </c>
      <c r="B27" s="39" t="s">
        <v>338</v>
      </c>
      <c r="C27" s="11" t="n">
        <f aca="false">INDEX(sch_MgHours_Tom,3)</f>
        <v>141.57</v>
      </c>
      <c r="D27" s="10" t="n">
        <v>141.57</v>
      </c>
      <c r="E27" s="41" t="n">
        <v>0.01</v>
      </c>
      <c r="F27" s="42" t="str">
        <f aca="false">IF(ABS(C27-D27)&lt;=E27,"PASS","FAIL")</f>
        <v>PASS</v>
      </c>
    </row>
    <row r="28" customFormat="false" ht="15" hidden="false" customHeight="false" outlineLevel="0" collapsed="false">
      <c r="A28" s="7" t="s">
        <v>339</v>
      </c>
      <c r="B28" s="39" t="s">
        <v>340</v>
      </c>
      <c r="C28" s="11" t="n">
        <f aca="false">INDEX(sch_Hours_Tom,10)</f>
        <v>2334.36821409</v>
      </c>
      <c r="D28" s="10" t="n">
        <v>2334.368</v>
      </c>
      <c r="E28" s="41" t="n">
        <v>0.01</v>
      </c>
      <c r="F28" s="42" t="str">
        <f aca="false">IF(ABS(C28-D28)&lt;=E28,"PASS","FAIL")</f>
        <v>PASS</v>
      </c>
    </row>
    <row r="29" customFormat="false" ht="15" hidden="false" customHeight="false" outlineLevel="0" collapsed="false">
      <c r="A29" s="7" t="s">
        <v>341</v>
      </c>
      <c r="B29" s="39" t="s">
        <v>342</v>
      </c>
      <c r="C29" s="11" t="n">
        <f aca="false">INDEX(sch_MgHours_Tom,10)</f>
        <v>424.43058438</v>
      </c>
      <c r="D29" s="10" t="n">
        <v>424.43</v>
      </c>
      <c r="E29" s="41" t="n">
        <v>0.01</v>
      </c>
      <c r="F29" s="42" t="str">
        <f aca="false">IF(ABS(C29-D29)&lt;=E29,"PASS","FAIL")</f>
        <v>PASS</v>
      </c>
    </row>
    <row r="30" customFormat="false" ht="15" hidden="false" customHeight="false" outlineLevel="0" collapsed="false">
      <c r="A30" s="7" t="s">
        <v>343</v>
      </c>
      <c r="B30" s="39" t="s">
        <v>344</v>
      </c>
      <c r="C30" s="11" t="n">
        <f aca="false">INDEX(sch_Hours_Tom,11)</f>
        <v>2824.5855390489</v>
      </c>
      <c r="D30" s="10" t="n">
        <v>2824.59</v>
      </c>
      <c r="E30" s="41" t="n">
        <v>0.01</v>
      </c>
      <c r="F30" s="42" t="str">
        <f aca="false">IF(ABS(C30-D30)&lt;=E30,"PASS","FAIL")</f>
        <v>PASS</v>
      </c>
    </row>
    <row r="31" customFormat="false" ht="15" hidden="false" customHeight="false" outlineLevel="0" collapsed="false">
      <c r="A31" s="7" t="s">
        <v>345</v>
      </c>
      <c r="B31" s="39" t="s">
        <v>346</v>
      </c>
      <c r="C31" s="11" t="n">
        <f aca="false">INDEX(sch_MgHours_Tom,11)</f>
        <v>490.2173249589</v>
      </c>
      <c r="D31" s="10" t="n">
        <v>490.22</v>
      </c>
      <c r="E31" s="41" t="n">
        <v>0.01</v>
      </c>
      <c r="F31" s="42" t="str">
        <f aca="false">IF(ABS(C31-D31)&lt;=E31,"PASS","FAIL")</f>
        <v>PASS</v>
      </c>
    </row>
    <row r="32" customFormat="false" ht="15" hidden="false" customHeight="false" outlineLevel="0" collapsed="false">
      <c r="A32" s="7" t="s">
        <v>347</v>
      </c>
      <c r="B32" s="39" t="s">
        <v>348</v>
      </c>
      <c r="C32" s="11" t="n">
        <f aca="false">INDEX(sch_Hours_Car,20)</f>
        <v>983.169864174237</v>
      </c>
      <c r="D32" s="10" t="n">
        <v>983.17</v>
      </c>
      <c r="E32" s="41" t="n">
        <v>0.01</v>
      </c>
      <c r="F32" s="42" t="str">
        <f aca="false">IF(ABS(C32-D32)&lt;=E32,"PASS","FAIL")</f>
        <v>PASS</v>
      </c>
    </row>
    <row r="33" customFormat="false" ht="15" hidden="false" customHeight="false" outlineLevel="0" collapsed="false">
      <c r="A33" s="7" t="s">
        <v>349</v>
      </c>
      <c r="B33" s="39" t="s">
        <v>350</v>
      </c>
      <c r="C33" s="11" t="n">
        <f aca="false">INDEX(sch_Hours_Mes,30)</f>
        <v>1959.67803600965</v>
      </c>
      <c r="D33" s="10" t="n">
        <v>1959.678</v>
      </c>
      <c r="E33" s="41" t="n">
        <v>0.01</v>
      </c>
      <c r="F33" s="42" t="str">
        <f aca="false">IF(ABS(C33-D33)&lt;=E33,"PASS","FAIL")</f>
        <v>PASS</v>
      </c>
    </row>
    <row r="34" customFormat="false" ht="15" hidden="false" customHeight="false" outlineLevel="0" collapsed="false">
      <c r="A34" s="7" t="s">
        <v>351</v>
      </c>
      <c r="B34" s="39" t="s">
        <v>352</v>
      </c>
      <c r="C34" s="11" t="n">
        <f aca="false">calc_HoursTotal</f>
        <v>5277.21611427389</v>
      </c>
      <c r="D34" s="10" t="n">
        <v>5277.216</v>
      </c>
      <c r="E34" s="41" t="n">
        <v>0.01</v>
      </c>
      <c r="F34" s="42" t="str">
        <f aca="false">IF(ABS(C34-D34)&lt;=E34,"PASS","FAIL")</f>
        <v>PASS</v>
      </c>
    </row>
    <row r="36" customFormat="false" ht="15" hidden="false" customHeight="false" outlineLevel="0" collapsed="false">
      <c r="A36" s="4" t="s">
        <v>353</v>
      </c>
      <c r="B36" s="4"/>
      <c r="C36" s="4"/>
      <c r="D36" s="4"/>
      <c r="E36" s="4"/>
      <c r="F36" s="4"/>
    </row>
    <row r="37" customFormat="false" ht="15" hidden="false" customHeight="false" outlineLevel="0" collapsed="false">
      <c r="A37" s="5" t="s">
        <v>302</v>
      </c>
      <c r="B37" s="5" t="s">
        <v>303</v>
      </c>
      <c r="C37" s="5" t="s">
        <v>304</v>
      </c>
      <c r="D37" s="5" t="s">
        <v>305</v>
      </c>
      <c r="E37" s="5" t="s">
        <v>306</v>
      </c>
      <c r="F37" s="5" t="s">
        <v>307</v>
      </c>
    </row>
    <row r="38" customFormat="false" ht="23.85" hidden="false" customHeight="false" outlineLevel="0" collapsed="false">
      <c r="A38" s="7" t="s">
        <v>354</v>
      </c>
      <c r="B38" s="39" t="s">
        <v>355</v>
      </c>
      <c r="C38" s="11" t="n">
        <f aca="false">COUNTIF(sch_Hours_Tom,"&lt;="&amp;in_OwnerFieldHrs)+1</f>
        <v>5</v>
      </c>
      <c r="D38" s="10" t="n">
        <v>5</v>
      </c>
      <c r="E38" s="41" t="n">
        <v>0</v>
      </c>
      <c r="F38" s="42" t="str">
        <f aca="false">IF(ABS(C38-D38)&lt;=E38,"PASS","FAIL")</f>
        <v>PASS</v>
      </c>
    </row>
    <row r="39" customFormat="false" ht="15" hidden="false" customHeight="false" outlineLevel="0" collapsed="false">
      <c r="A39" s="7" t="s">
        <v>356</v>
      </c>
      <c r="B39" s="39" t="s">
        <v>357</v>
      </c>
      <c r="C39" s="11" t="n">
        <f aca="false">COUNTIF(sch_Hours_Car,"&lt;="&amp;in_OwnerFieldHrs)+1</f>
        <v>17</v>
      </c>
      <c r="D39" s="10" t="n">
        <v>17</v>
      </c>
      <c r="E39" s="41" t="n">
        <v>0</v>
      </c>
      <c r="F39" s="42" t="str">
        <f aca="false">IF(ABS(C39-D39)&lt;=E39,"PASS","FAIL")</f>
        <v>PASS</v>
      </c>
    </row>
    <row r="40" customFormat="false" ht="15" hidden="false" customHeight="false" outlineLevel="0" collapsed="false">
      <c r="A40" s="7" t="s">
        <v>358</v>
      </c>
      <c r="B40" s="39" t="s">
        <v>359</v>
      </c>
      <c r="C40" s="11" t="n">
        <f aca="false">COUNTIF(sch_Hours_Mes,"&lt;="&amp;in_OwnerFieldHrs)+1</f>
        <v>14</v>
      </c>
      <c r="D40" s="10" t="n">
        <v>14</v>
      </c>
      <c r="E40" s="41" t="n">
        <v>0</v>
      </c>
      <c r="F40" s="42" t="str">
        <f aca="false">IF(ABS(C40-D40)&lt;=E40,"PASS","FAIL")</f>
        <v>PASS</v>
      </c>
    </row>
    <row r="41" customFormat="false" ht="15" hidden="false" customHeight="false" outlineLevel="0" collapsed="false">
      <c r="A41" s="7" t="s">
        <v>360</v>
      </c>
      <c r="B41" s="39" t="s">
        <v>361</v>
      </c>
      <c r="C41" s="11" t="n">
        <f aca="false">INDEX(sch_MC_Tom,5)</f>
        <v>7660.859375</v>
      </c>
      <c r="D41" s="10" t="n">
        <v>7660.86</v>
      </c>
      <c r="E41" s="41" t="n">
        <v>0.01</v>
      </c>
      <c r="F41" s="42" t="str">
        <f aca="false">IF(ABS(C41-D41)&lt;=E41,"PASS","FAIL")</f>
        <v>PASS</v>
      </c>
    </row>
    <row r="42" customFormat="false" ht="15" hidden="false" customHeight="false" outlineLevel="0" collapsed="false">
      <c r="A42" s="7" t="s">
        <v>362</v>
      </c>
      <c r="B42" s="39" t="s">
        <v>363</v>
      </c>
      <c r="C42" s="11" t="n">
        <f aca="false">INDEX(sch_MC_Tom,6)</f>
        <v>4906.27500000001</v>
      </c>
      <c r="D42" s="10" t="n">
        <v>4906.28</v>
      </c>
      <c r="E42" s="41" t="n">
        <v>0.01</v>
      </c>
      <c r="F42" s="42" t="str">
        <f aca="false">IF(ABS(C42-D42)&lt;=E42,"PASS","FAIL")</f>
        <v>PASS</v>
      </c>
    </row>
    <row r="43" customFormat="false" ht="23.85" hidden="false" customHeight="false" outlineLevel="0" collapsed="false">
      <c r="A43" s="7" t="s">
        <v>364</v>
      </c>
      <c r="B43" s="39" t="s">
        <v>365</v>
      </c>
      <c r="C43" s="11" t="n">
        <f aca="false">SUMPRODUCT(--(2_Schedules!$F$8:$F$26&lt;2_Schedules!$F$7:$F$25),--(2_Schedules!$B$8:$B$26&lt;&gt;COUNTIF(sch_Hours_Tom,"&lt;="&amp;in_OwnerFieldHrs)+1),--(2_Schedules!$B$8:$B$26&lt;&gt;COUNTIF(sch_Hours_Tom,"&lt;="&amp;in_OwnerFieldHrs)+1+1))</f>
        <v>0</v>
      </c>
      <c r="D43" s="10" t="n">
        <v>0</v>
      </c>
      <c r="E43" s="41" t="n">
        <v>0</v>
      </c>
      <c r="F43" s="42" t="str">
        <f aca="false">IF(ABS(C43-D43)&lt;=E43,"PASS","FAIL")</f>
        <v>PASS</v>
      </c>
    </row>
    <row r="44" customFormat="false" ht="23.85" hidden="false" customHeight="false" outlineLevel="0" collapsed="false">
      <c r="A44" s="7" t="s">
        <v>366</v>
      </c>
      <c r="B44" s="39" t="s">
        <v>367</v>
      </c>
      <c r="C44" s="11" t="n">
        <f aca="false">SUMPRODUCT(--(2_Schedules!$M$8:$M$26&lt;2_Schedules!$M$7:$M$25),--(2_Schedules!$I$8:$I$26&lt;&gt;COUNTIF(sch_Hours_Car,"&lt;="&amp;in_OwnerFieldHrs)+1),--(2_Schedules!$I$8:$I$26&lt;&gt;COUNTIF(sch_Hours_Car,"&lt;="&amp;in_OwnerFieldHrs)+1+1))</f>
        <v>0</v>
      </c>
      <c r="D44" s="10" t="n">
        <v>0</v>
      </c>
      <c r="E44" s="41" t="n">
        <v>0</v>
      </c>
      <c r="F44" s="42" t="str">
        <f aca="false">IF(ABS(C44-D44)&lt;=E44,"PASS","FAIL")</f>
        <v>PASS</v>
      </c>
    </row>
    <row r="45" customFormat="false" ht="23.85" hidden="false" customHeight="false" outlineLevel="0" collapsed="false">
      <c r="A45" s="7" t="s">
        <v>368</v>
      </c>
      <c r="B45" s="39" t="s">
        <v>369</v>
      </c>
      <c r="C45" s="11" t="n">
        <f aca="false">SUMPRODUCT(--(2_Schedules!$T$8:$T$36&lt;2_Schedules!$T$7:$T$35),--(2_Schedules!$P$8:$P$36&lt;&gt;COUNTIF(sch_Hours_Mes,"&lt;="&amp;in_OwnerFieldHrs)+1),--(2_Schedules!$P$8:$P$36&lt;&gt;COUNTIF(sch_Hours_Mes,"&lt;="&amp;in_OwnerFieldHrs)+1+1))</f>
        <v>0</v>
      </c>
      <c r="D45" s="10" t="n">
        <v>0</v>
      </c>
      <c r="E45" s="41" t="n">
        <v>0</v>
      </c>
      <c r="F45" s="42" t="str">
        <f aca="false">IF(ABS(C45-D45)&lt;=E45,"PASS","FAIL")</f>
        <v>PASS</v>
      </c>
    </row>
    <row r="47" customFormat="false" ht="15" hidden="false" customHeight="false" outlineLevel="0" collapsed="false">
      <c r="A47" s="4" t="s">
        <v>370</v>
      </c>
      <c r="B47" s="4"/>
      <c r="C47" s="4"/>
      <c r="D47" s="4"/>
      <c r="E47" s="4"/>
      <c r="F47" s="4"/>
    </row>
    <row r="48" customFormat="false" ht="15" hidden="false" customHeight="false" outlineLevel="0" collapsed="false">
      <c r="A48" s="5" t="s">
        <v>302</v>
      </c>
      <c r="B48" s="5" t="s">
        <v>303</v>
      </c>
      <c r="C48" s="5" t="s">
        <v>304</v>
      </c>
      <c r="D48" s="5" t="s">
        <v>305</v>
      </c>
      <c r="E48" s="5" t="s">
        <v>306</v>
      </c>
      <c r="F48" s="5" t="s">
        <v>307</v>
      </c>
    </row>
    <row r="49" customFormat="false" ht="23.85" hidden="false" customHeight="false" outlineLevel="0" collapsed="false">
      <c r="A49" s="7" t="s">
        <v>371</v>
      </c>
      <c r="B49" s="39" t="s">
        <v>372</v>
      </c>
      <c r="C49" s="18" t="str">
        <f aca="false">IF(AND(dec_Beds_Tom&lt;in_BedCap_Tom,calc_IncLast_Tom&lt;in_RevBed_Tom,calc_IncNext_Tom&gt;in_RevBed_Tom),"TRUE","FALSE")</f>
        <v>TRUE</v>
      </c>
      <c r="D49" s="43" t="s">
        <v>373</v>
      </c>
      <c r="F49" s="42" t="str">
        <f aca="false">IF(EXACT(C49,D49),"PASS","FAIL")</f>
        <v>PASS</v>
      </c>
    </row>
    <row r="50" customFormat="false" ht="15" hidden="false" customHeight="false" outlineLevel="0" collapsed="false">
      <c r="A50" s="7" t="s">
        <v>374</v>
      </c>
      <c r="B50" s="39" t="s">
        <v>375</v>
      </c>
      <c r="C50" s="18" t="str">
        <f aca="false">IF(AND(dec_Beds_Car=in_BedCap_Car,calc_IncNext_Car&lt;in_RevBed_Car),"TRUE","FALSE")</f>
        <v>TRUE</v>
      </c>
      <c r="D50" s="43" t="s">
        <v>373</v>
      </c>
      <c r="F50" s="42" t="str">
        <f aca="false">IF(EXACT(C50,D50),"PASS","FAIL")</f>
        <v>PASS</v>
      </c>
    </row>
    <row r="51" customFormat="false" ht="15" hidden="false" customHeight="false" outlineLevel="0" collapsed="false">
      <c r="A51" s="7" t="s">
        <v>376</v>
      </c>
      <c r="B51" s="39" t="s">
        <v>377</v>
      </c>
      <c r="C51" s="18" t="str">
        <f aca="false">IF(AND(dec_Beds_Mes=in_BedCap_Mes,calc_IncNext_Mes&lt;in_RevBed_Mes),"TRUE","FALSE")</f>
        <v>TRUE</v>
      </c>
      <c r="D51" s="43" t="s">
        <v>373</v>
      </c>
      <c r="F51" s="42" t="str">
        <f aca="false">IF(EXACT(C51,D51),"PASS","FAIL")</f>
        <v>PASS</v>
      </c>
    </row>
    <row r="52" customFormat="false" ht="15" hidden="false" customHeight="false" outlineLevel="0" collapsed="false">
      <c r="A52" s="7" t="s">
        <v>378</v>
      </c>
      <c r="B52" s="39" t="s">
        <v>379</v>
      </c>
      <c r="C52" s="11" t="n">
        <f aca="false">calc_BedsUsed</f>
        <v>60</v>
      </c>
      <c r="D52" s="10" t="n">
        <v>60</v>
      </c>
      <c r="E52" s="41" t="n">
        <v>0</v>
      </c>
      <c r="F52" s="42" t="str">
        <f aca="false">IF(ABS(C52-D52)&lt;=E52,"PASS","FAIL")</f>
        <v>PASS</v>
      </c>
    </row>
    <row r="53" customFormat="false" ht="15" hidden="false" customHeight="false" outlineLevel="0" collapsed="false">
      <c r="A53" s="7" t="s">
        <v>380</v>
      </c>
      <c r="B53" s="39" t="s">
        <v>381</v>
      </c>
      <c r="C53" s="11" t="n">
        <f aca="false">cap_TempHours-calc_TempHoursUsed</f>
        <v>1202.78388572612</v>
      </c>
      <c r="D53" s="10" t="n">
        <v>1202.784</v>
      </c>
      <c r="E53" s="41" t="n">
        <v>0.01</v>
      </c>
      <c r="F53" s="42" t="str">
        <f aca="false">IF(ABS(C53-D53)&lt;=E53,"PASS","FAIL")</f>
        <v>PASS</v>
      </c>
    </row>
    <row r="54" customFormat="false" ht="15" hidden="false" customHeight="false" outlineLevel="0" collapsed="false">
      <c r="A54" s="7" t="s">
        <v>382</v>
      </c>
      <c r="B54" s="39" t="s">
        <v>383</v>
      </c>
      <c r="C54" s="11" t="n">
        <f aca="false">calc_OwnerHoursUsed</f>
        <v>720</v>
      </c>
      <c r="D54" s="10" t="n">
        <v>720</v>
      </c>
      <c r="E54" s="41" t="n">
        <v>0.0005</v>
      </c>
      <c r="F54" s="42" t="str">
        <f aca="false">IF(ABS(C54-D54)&lt;=E54,"PASS","FAIL")</f>
        <v>PASS</v>
      </c>
    </row>
    <row r="56" customFormat="false" ht="15" hidden="false" customHeight="false" outlineLevel="0" collapsed="false">
      <c r="A56" s="4" t="s">
        <v>384</v>
      </c>
      <c r="B56" s="4"/>
      <c r="C56" s="4"/>
      <c r="D56" s="4"/>
      <c r="E56" s="4"/>
      <c r="F56" s="4"/>
    </row>
    <row r="57" customFormat="false" ht="15" hidden="false" customHeight="false" outlineLevel="0" collapsed="false">
      <c r="A57" s="5" t="s">
        <v>302</v>
      </c>
      <c r="B57" s="5" t="s">
        <v>303</v>
      </c>
      <c r="C57" s="5" t="s">
        <v>304</v>
      </c>
      <c r="D57" s="5" t="s">
        <v>305</v>
      </c>
      <c r="E57" s="5" t="s">
        <v>306</v>
      </c>
      <c r="F57" s="5" t="s">
        <v>307</v>
      </c>
    </row>
    <row r="58" customFormat="false" ht="15" hidden="false" customHeight="false" outlineLevel="0" collapsed="false">
      <c r="A58" s="7" t="s">
        <v>385</v>
      </c>
      <c r="B58" s="39" t="s">
        <v>386</v>
      </c>
      <c r="C58" s="11" t="n">
        <f aca="false">INDEX(sch_Hours_Tom,1)</f>
        <v>99</v>
      </c>
      <c r="D58" s="10" t="n">
        <v>99</v>
      </c>
      <c r="E58" s="41" t="n">
        <v>0.0005</v>
      </c>
      <c r="F58" s="42" t="str">
        <f aca="false">IF(ABS(C58-D58)&lt;=E58,"PASS","FAIL")</f>
        <v>PASS</v>
      </c>
    </row>
    <row r="59" customFormat="false" ht="15" hidden="false" customHeight="false" outlineLevel="0" collapsed="false">
      <c r="A59" s="7" t="s">
        <v>387</v>
      </c>
      <c r="B59" s="39" t="s">
        <v>388</v>
      </c>
      <c r="C59" s="11" t="n">
        <f aca="false">INDEX(sch_MC_Tom,1)</f>
        <v>4317.5</v>
      </c>
      <c r="D59" s="10" t="n">
        <v>4317.5</v>
      </c>
      <c r="E59" s="41" t="n">
        <v>0.005</v>
      </c>
      <c r="F59" s="42" t="str">
        <f aca="false">IF(ABS(C59-D59)&lt;=E59,"PASS","FAIL")</f>
        <v>PASS</v>
      </c>
    </row>
    <row r="60" customFormat="false" ht="23.85" hidden="false" customHeight="false" outlineLevel="0" collapsed="false">
      <c r="A60" s="7" t="s">
        <v>389</v>
      </c>
      <c r="B60" s="39" t="s">
        <v>390</v>
      </c>
      <c r="C60" s="17" t="n">
        <f aca="false">in_RevBed_Tom-INDEX(sch_CumCost_Tom,1)-in_FixedCost</f>
        <v>-15517.5</v>
      </c>
      <c r="D60" s="40" t="n">
        <v>-15517.5</v>
      </c>
      <c r="E60" s="41" t="n">
        <v>0.005</v>
      </c>
      <c r="F60" s="42" t="str">
        <f aca="false">IF(ABS(C60-D60)&lt;=E60,"PASS","FAIL")</f>
        <v>PASS</v>
      </c>
    </row>
    <row r="62" customFormat="false" ht="15" hidden="false" customHeight="false" outlineLevel="0" collapsed="false">
      <c r="A62" s="4" t="s">
        <v>391</v>
      </c>
      <c r="B62" s="4"/>
      <c r="C62" s="4"/>
      <c r="D62" s="4"/>
      <c r="E62" s="4"/>
      <c r="F62" s="4"/>
    </row>
    <row r="63" customFormat="false" ht="15" hidden="false" customHeight="false" outlineLevel="0" collapsed="false">
      <c r="A63" s="5" t="s">
        <v>302</v>
      </c>
      <c r="B63" s="5" t="s">
        <v>303</v>
      </c>
      <c r="C63" s="5" t="s">
        <v>304</v>
      </c>
      <c r="D63" s="5" t="s">
        <v>305</v>
      </c>
      <c r="E63" s="5" t="s">
        <v>306</v>
      </c>
      <c r="F63" s="5" t="s">
        <v>307</v>
      </c>
    </row>
    <row r="64" customFormat="false" ht="23.85" hidden="false" customHeight="false" outlineLevel="0" collapsed="false">
      <c r="A64" s="7" t="s">
        <v>392</v>
      </c>
      <c r="B64" s="39" t="s">
        <v>393</v>
      </c>
      <c r="C64" s="11" t="n">
        <f aca="false">SUMPRODUCT(--ISERROR(1_Inputs!$C$5:$C$75))</f>
        <v>0</v>
      </c>
      <c r="D64" s="10" t="n">
        <v>0</v>
      </c>
      <c r="E64" s="41" t="n">
        <v>0</v>
      </c>
      <c r="F64" s="42" t="str">
        <f aca="false">IF(ABS(C64-D64)&lt;=E64,"PASS","FAIL")</f>
        <v>PASS</v>
      </c>
    </row>
    <row r="65" customFormat="false" ht="23.85" hidden="false" customHeight="false" outlineLevel="0" collapsed="false">
      <c r="A65" s="7" t="s">
        <v>394</v>
      </c>
      <c r="B65" s="39" t="s">
        <v>395</v>
      </c>
      <c r="C65" s="11" t="n">
        <f aca="false">SUMPRODUCT(--ISERROR(2_Schedules!$B$7:$U$36))</f>
        <v>0</v>
      </c>
      <c r="D65" s="10" t="n">
        <v>0</v>
      </c>
      <c r="E65" s="41" t="n">
        <v>0</v>
      </c>
      <c r="F65" s="42" t="str">
        <f aca="false">IF(ABS(C65-D65)&lt;=E65,"PASS","FAIL")</f>
        <v>PASS</v>
      </c>
    </row>
    <row r="66" customFormat="false" ht="23.85" hidden="false" customHeight="false" outlineLevel="0" collapsed="false">
      <c r="A66" s="7" t="s">
        <v>396</v>
      </c>
      <c r="B66" s="39" t="s">
        <v>397</v>
      </c>
      <c r="C66" s="11" t="n">
        <f aca="false">SUMPRODUCT(--ISERROR(3_Optimize!$A$5:$K$85))</f>
        <v>0</v>
      </c>
      <c r="D66" s="10" t="n">
        <v>0</v>
      </c>
      <c r="E66" s="41" t="n">
        <v>0</v>
      </c>
      <c r="F66" s="42" t="str">
        <f aca="false">IF(ABS(C66-D66)&lt;=E66,"PASS","FAIL")</f>
        <v>PASS</v>
      </c>
    </row>
    <row r="67" customFormat="false" ht="23.85" hidden="false" customHeight="false" outlineLevel="0" collapsed="false">
      <c r="A67" s="7" t="s">
        <v>398</v>
      </c>
      <c r="B67" s="39" t="s">
        <v>399</v>
      </c>
      <c r="C67" s="11" t="n">
        <f aca="false">SUMPRODUCT(--ISERROR(4_Results!$C$5:$N$40))</f>
        <v>0</v>
      </c>
      <c r="D67" s="10" t="n">
        <v>0</v>
      </c>
      <c r="E67" s="41" t="n">
        <v>0</v>
      </c>
      <c r="F67" s="42" t="str">
        <f aca="false">IF(ABS(C67-D67)&lt;=E67,"PASS","FAIL")</f>
        <v>PASS</v>
      </c>
    </row>
    <row r="68" customFormat="false" ht="23.85" hidden="false" customHeight="false" outlineLevel="0" collapsed="false">
      <c r="A68" s="7" t="s">
        <v>400</v>
      </c>
      <c r="B68" s="39" t="s">
        <v>401</v>
      </c>
      <c r="C68" s="11" t="n">
        <f aca="false">--ISERROR(out_BindingConstraints)</f>
        <v>0</v>
      </c>
      <c r="D68" s="10" t="n">
        <v>0</v>
      </c>
      <c r="E68" s="41" t="n">
        <v>0</v>
      </c>
      <c r="F68" s="42" t="str">
        <f aca="false">IF(ABS(C68-D68)&lt;=E68,"PASS","FAIL")</f>
        <v>PASS</v>
      </c>
    </row>
    <row r="69" customFormat="false" ht="23.85" hidden="false" customHeight="false" outlineLevel="0" collapsed="false">
      <c r="A69" s="7" t="s">
        <v>402</v>
      </c>
      <c r="B69" s="39" t="s">
        <v>403</v>
      </c>
      <c r="C69" s="11" t="n">
        <f aca="false">COUNT(2_Schedules!$C$7:$F$26)+COUNT(2_Schedules!$J$7:$M$26)+COUNT(2_Schedules!$Q$7:$T$36)</f>
        <v>280</v>
      </c>
      <c r="D69" s="10" t="n">
        <v>280</v>
      </c>
      <c r="E69" s="41" t="n">
        <v>0</v>
      </c>
      <c r="F69" s="42" t="str">
        <f aca="false">IF(ABS(C69-D69)&lt;=E69,"PASS","FAIL")</f>
        <v>PASS</v>
      </c>
    </row>
    <row r="70" customFormat="false" ht="23.85" hidden="false" customHeight="false" outlineLevel="0" collapsed="false">
      <c r="A70" s="7" t="s">
        <v>404</v>
      </c>
      <c r="B70" s="39" t="s">
        <v>405</v>
      </c>
      <c r="C70" s="17" t="n">
        <f aca="false">calc_Profit+in_FixedCost</f>
        <v>62761.6646827451</v>
      </c>
      <c r="D70" s="40" t="n">
        <v>62761.66</v>
      </c>
      <c r="E70" s="41" t="n">
        <v>0.01</v>
      </c>
      <c r="F70" s="42" t="str">
        <f aca="false">IF(ABS(C70-D70)&lt;=E70,"PASS","FAIL")</f>
        <v>PASS</v>
      </c>
    </row>
    <row r="71" customFormat="false" ht="15" hidden="false" customHeight="false" outlineLevel="0" collapsed="false">
      <c r="A71" s="7" t="s">
        <v>406</v>
      </c>
      <c r="B71" s="39" t="s">
        <v>407</v>
      </c>
      <c r="C71" s="11" t="n">
        <f aca="false">INDEX(sch_MC_Tom,dec_Beds_Tom)-calc_IncLast_Tom</f>
        <v>0</v>
      </c>
      <c r="D71" s="10" t="n">
        <v>0</v>
      </c>
      <c r="E71" s="41" t="n">
        <v>0.005</v>
      </c>
      <c r="F71" s="42" t="str">
        <f aca="false">IF(ABS(C71-D71)&lt;=E71,"PASS","FAIL")</f>
        <v>PASS</v>
      </c>
    </row>
    <row r="72" customFormat="false" ht="15" hidden="false" customHeight="false" outlineLevel="0" collapsed="false">
      <c r="A72" s="7" t="s">
        <v>408</v>
      </c>
      <c r="B72" s="39" t="s">
        <v>409</v>
      </c>
      <c r="C72" s="11" t="n">
        <f aca="false">INDEX(sch_MC_Car,dec_Beds_Car)-calc_IncLast_Car</f>
        <v>-2.91038304567337E-011</v>
      </c>
      <c r="D72" s="10" t="n">
        <v>0</v>
      </c>
      <c r="E72" s="41" t="n">
        <v>0.005</v>
      </c>
      <c r="F72" s="42" t="str">
        <f aca="false">IF(ABS(C72-D72)&lt;=E72,"PASS","FAIL")</f>
        <v>PASS</v>
      </c>
    </row>
    <row r="73" customFormat="false" ht="15" hidden="false" customHeight="false" outlineLevel="0" collapsed="false">
      <c r="A73" s="7" t="s">
        <v>410</v>
      </c>
      <c r="B73" s="39" t="s">
        <v>411</v>
      </c>
      <c r="C73" s="11" t="n">
        <f aca="false">INDEX(sch_MC_Mes,dec_Beds_Mes)-calc_IncLast_Mes</f>
        <v>-1.45519152283669E-011</v>
      </c>
      <c r="D73" s="10" t="n">
        <v>0</v>
      </c>
      <c r="E73" s="41" t="n">
        <v>0.005</v>
      </c>
      <c r="F73" s="42" t="str">
        <f aca="false">IF(ABS(C73-D73)&lt;=E73,"PASS","FAIL")</f>
        <v>PASS</v>
      </c>
    </row>
    <row r="74" customFormat="false" ht="23.85" hidden="false" customHeight="false" outlineLevel="0" collapsed="false">
      <c r="A74" s="7" t="s">
        <v>412</v>
      </c>
      <c r="B74" s="39" t="s">
        <v>413</v>
      </c>
      <c r="C74" s="11" t="n">
        <f aca="false">in_HrsWkBed_Car*3-in_HrsWkBed_Tom</f>
        <v>0</v>
      </c>
      <c r="D74" s="10" t="n">
        <v>0</v>
      </c>
      <c r="E74" s="41" t="n">
        <v>0</v>
      </c>
      <c r="F74" s="42" t="str">
        <f aca="false">IF(ABS(C74-D74)&lt;=E74,"PASS","FAIL")</f>
        <v>PASS</v>
      </c>
    </row>
    <row r="75" customFormat="false" ht="23.85" hidden="false" customHeight="false" outlineLevel="0" collapsed="false">
      <c r="A75" s="7" t="s">
        <v>414</v>
      </c>
      <c r="B75" s="39" t="s">
        <v>415</v>
      </c>
      <c r="C75" s="11" t="n">
        <f aca="false">in_HrsWkBed_Mes*2-in_HrsWkBed_Tom</f>
        <v>0</v>
      </c>
      <c r="D75" s="10" t="n">
        <v>0</v>
      </c>
      <c r="E75" s="41" t="n">
        <v>0</v>
      </c>
      <c r="F75" s="42" t="str">
        <f aca="false">IF(ABS(C75-D75)&lt;=E75,"PASS","FAIL")</f>
        <v>PASS</v>
      </c>
    </row>
    <row r="76" customFormat="false" ht="23.85" hidden="false" customHeight="false" outlineLevel="0" collapsed="false">
      <c r="A76" s="7" t="s">
        <v>416</v>
      </c>
      <c r="B76" s="39" t="s">
        <v>417</v>
      </c>
      <c r="C76" s="11" t="n">
        <f aca="false">rate_Owner*in_OwnerHrsPaid-in_OwnerPay</f>
        <v>0</v>
      </c>
      <c r="D76" s="10" t="n">
        <v>0</v>
      </c>
      <c r="E76" s="41" t="n">
        <v>0</v>
      </c>
      <c r="F76" s="42" t="str">
        <f aca="false">IF(ABS(C76-D76)&lt;=E76,"PASS","FAIL")</f>
        <v>PASS</v>
      </c>
    </row>
    <row r="77" customFormat="false" ht="23.85" hidden="false" customHeight="false" outlineLevel="0" collapsed="false">
      <c r="A77" s="7" t="s">
        <v>418</v>
      </c>
      <c r="B77" s="39" t="s">
        <v>419</v>
      </c>
      <c r="C77" s="11" t="n">
        <f aca="false">rate_Temp*in_TempHrsEach-in_TempPay</f>
        <v>0</v>
      </c>
      <c r="D77" s="10" t="n">
        <v>0</v>
      </c>
      <c r="E77" s="41" t="n">
        <v>0</v>
      </c>
      <c r="F77" s="42" t="str">
        <f aca="false">IF(ABS(C77-D77)&lt;=E77,"PASS","FAIL")</f>
        <v>PASS</v>
      </c>
    </row>
    <row r="78" customFormat="false" ht="15" hidden="false" customHeight="false" outlineLevel="0" collapsed="false">
      <c r="A78" s="7" t="s">
        <v>420</v>
      </c>
      <c r="B78" s="39" t="s">
        <v>421</v>
      </c>
      <c r="C78" s="11" t="n">
        <f aca="false">(dec_Beds_Tom-ROUND(dec_Beds_Tom,0))+(dec_Beds_Car-ROUND(dec_Beds_Car,0))+(dec_Beds_Mes-ROUND(dec_Beds_Mes,0))</f>
        <v>0</v>
      </c>
      <c r="D78" s="10" t="n">
        <v>0</v>
      </c>
      <c r="E78" s="41" t="n">
        <v>0</v>
      </c>
      <c r="F78" s="42" t="str">
        <f aca="false">IF(ABS(C78-D78)&lt;=E78,"PASS","FAIL")</f>
        <v>PASS</v>
      </c>
    </row>
    <row r="79" customFormat="false" ht="23.85" hidden="false" customHeight="false" outlineLevel="0" collapsed="false">
      <c r="A79" s="7" t="s">
        <v>422</v>
      </c>
      <c r="B79" s="39" t="s">
        <v>423</v>
      </c>
      <c r="C79" s="44"/>
      <c r="D79" s="45"/>
      <c r="F79" s="42" t="str">
        <f aca="false">"AUDIT"</f>
        <v>AUDIT</v>
      </c>
    </row>
    <row r="80" customFormat="false" ht="15" hidden="false" customHeight="false" outlineLevel="0" collapsed="false">
      <c r="A80" s="7" t="s">
        <v>424</v>
      </c>
      <c r="B80" s="39" t="s">
        <v>425</v>
      </c>
      <c r="C80" s="44"/>
      <c r="D80" s="45"/>
      <c r="F80" s="42" t="str">
        <f aca="false">"AUDIT"</f>
        <v>AUDIT</v>
      </c>
    </row>
    <row r="81" customFormat="false" ht="35.05" hidden="false" customHeight="false" outlineLevel="0" collapsed="false">
      <c r="A81" s="7" t="s">
        <v>426</v>
      </c>
      <c r="B81" s="39" t="s">
        <v>427</v>
      </c>
      <c r="C81" s="44"/>
      <c r="D81" s="45"/>
      <c r="F81" s="42" t="str">
        <f aca="false">"AUDIT"</f>
        <v>AUDIT</v>
      </c>
    </row>
    <row r="83" customFormat="false" ht="15" hidden="false" customHeight="false" outlineLevel="0" collapsed="false">
      <c r="A83" s="3" t="s">
        <v>428</v>
      </c>
      <c r="B83" s="3"/>
      <c r="C83" s="3"/>
      <c r="D83" s="3"/>
      <c r="E83" s="3"/>
      <c r="F83" s="3"/>
    </row>
    <row r="85" customFormat="false" ht="15" hidden="false" customHeight="false" outlineLevel="0" collapsed="false">
      <c r="A85" s="4" t="s">
        <v>429</v>
      </c>
      <c r="B85" s="4"/>
      <c r="C85" s="4"/>
      <c r="D85" s="4"/>
      <c r="E85" s="4"/>
      <c r="F85" s="4"/>
    </row>
    <row r="86" customFormat="false" ht="15" hidden="false" customHeight="false" outlineLevel="0" collapsed="false">
      <c r="B86" s="14" t="s">
        <v>430</v>
      </c>
      <c r="C86" s="46" t="n">
        <f aca="false">COUNTIF($F$7:$F$85,"PASS")</f>
        <v>54</v>
      </c>
      <c r="D86" s="44" t="n">
        <f aca="false">COUNTIF($F$7:$F$85,"PASS")+COUNTIF($F$7:$F$85,"FAIL")</f>
        <v>54</v>
      </c>
      <c r="F86" s="47" t="str">
        <f aca="false">IF(CHK_PASSED=CHK_TOTAL,"ALL PASS","FAILURES")</f>
        <v>ALL PASS</v>
      </c>
    </row>
    <row r="88" customFormat="false" ht="15" hidden="false" customHeight="false" outlineLevel="0" collapsed="false">
      <c r="A88" s="4" t="s">
        <v>431</v>
      </c>
      <c r="B88" s="4"/>
      <c r="C88" s="4"/>
      <c r="D88" s="4"/>
      <c r="E88" s="4"/>
      <c r="F88" s="4"/>
    </row>
    <row r="89" customFormat="false" ht="15" hidden="false" customHeight="false" outlineLevel="0" collapsed="false">
      <c r="A89" s="5" t="s">
        <v>432</v>
      </c>
      <c r="B89" s="5" t="s">
        <v>433</v>
      </c>
      <c r="C89" s="5" t="s">
        <v>434</v>
      </c>
      <c r="D89" s="5" t="s">
        <v>435</v>
      </c>
      <c r="E89" s="5" t="s">
        <v>436</v>
      </c>
      <c r="F89" s="5" t="s">
        <v>437</v>
      </c>
      <c r="G89" s="5" t="s">
        <v>438</v>
      </c>
      <c r="H89" s="5" t="s">
        <v>439</v>
      </c>
      <c r="I89" s="5" t="s">
        <v>440</v>
      </c>
      <c r="J89" s="5" t="s">
        <v>163</v>
      </c>
      <c r="K89" s="5" t="s">
        <v>441</v>
      </c>
      <c r="L89" s="5" t="s">
        <v>442</v>
      </c>
      <c r="M89" s="5" t="s">
        <v>443</v>
      </c>
      <c r="N89" s="5" t="s">
        <v>444</v>
      </c>
    </row>
    <row r="90" customFormat="false" ht="15" hidden="false" customHeight="false" outlineLevel="0" collapsed="false">
      <c r="A90" s="6" t="s">
        <v>445</v>
      </c>
      <c r="B90" s="25" t="n">
        <f aca="false">dec_Beds_Tom+(1)</f>
        <v>11</v>
      </c>
      <c r="C90" s="25" t="n">
        <f aca="false">dec_Beds_Car+(0)</f>
        <v>20</v>
      </c>
      <c r="D90" s="25" t="n">
        <f aca="false">dec_Beds_Mes+(0)</f>
        <v>30</v>
      </c>
      <c r="E90" s="11" t="n">
        <f aca="false">B90*in_HrsWkBed_Tom*in_WeeksSeason*(1+in_Dim_Tom)^B90</f>
        <v>2824.5855390489</v>
      </c>
      <c r="F90" s="11" t="n">
        <f aca="false">C90*in_HrsWkBed_Car*in_WeeksSeason*(1+in_Dim_Car)^C90</f>
        <v>983.169864174237</v>
      </c>
      <c r="G90" s="11" t="n">
        <f aca="false">D90*in_HrsWkBed_Mes*in_WeeksSeason*(1+in_Dim_Mes)^D90</f>
        <v>1959.67803600965</v>
      </c>
      <c r="H90" s="11" t="n">
        <f aca="false">E90+F90+G90</f>
        <v>5767.43343923279</v>
      </c>
      <c r="I90" s="17" t="n">
        <f aca="false">MIN(H90,in_OwnerFieldHrs)*rate_Owner+MAX(0,H90-in_OwnerFieldHrs)*rate_Temp</f>
        <v>112629.052764458</v>
      </c>
      <c r="J90" s="17" t="n">
        <f aca="false">B90*in_RevBed_Tom+C90*in_RevBed_Car+D90*in_RevBed_Mes</f>
        <v>219680</v>
      </c>
      <c r="K90" s="17" t="n">
        <f aca="false">B90*in_Fert_Tom+C90*in_Fert_Car+D90*in_Fert_Mes</f>
        <v>44880</v>
      </c>
      <c r="L90" s="17" t="n">
        <f aca="false">J90-I90-K90-in_FixedCost</f>
        <v>42170.9472355419</v>
      </c>
      <c r="M90" s="18" t="str">
        <f aca="false">IF(AND(B90&gt;=0,C90&gt;=0,D90&gt;=0,B90&lt;=in_BedCap_Tom,C90&lt;=in_BedCap_Car,D90&lt;=in_BedCap_Mes,B90+C90+D90&lt;=in_BedsTotal,MAX(0,H90-in_OwnerFieldHrs)&lt;=cap_TempHours),"yes","no")</f>
        <v>yes</v>
      </c>
      <c r="N90" s="18" t="str">
        <f aca="false">IF(AND(M90="yes",L90&gt;calc_Profit+0.005),"BEATS","no")</f>
        <v>no</v>
      </c>
    </row>
    <row r="91" customFormat="false" ht="15" hidden="false" customHeight="false" outlineLevel="0" collapsed="false">
      <c r="A91" s="6" t="s">
        <v>446</v>
      </c>
      <c r="B91" s="25" t="n">
        <f aca="false">dec_Beds_Tom+(-1)</f>
        <v>9</v>
      </c>
      <c r="C91" s="25" t="n">
        <f aca="false">dec_Beds_Car+(0)</f>
        <v>20</v>
      </c>
      <c r="D91" s="25" t="n">
        <f aca="false">dec_Beds_Mes+(0)</f>
        <v>30</v>
      </c>
      <c r="E91" s="11" t="n">
        <f aca="false">B91*in_HrsWkBed_Tom*in_WeeksSeason*(1+in_Dim_Tom)^B91</f>
        <v>1909.93762971</v>
      </c>
      <c r="F91" s="11" t="n">
        <f aca="false">C91*in_HrsWkBed_Car*in_WeeksSeason*(1+in_Dim_Car)^C91</f>
        <v>983.169864174237</v>
      </c>
      <c r="G91" s="11" t="n">
        <f aca="false">D91*in_HrsWkBed_Mes*in_WeeksSeason*(1+in_Dim_Mes)^D91</f>
        <v>1959.67803600965</v>
      </c>
      <c r="H91" s="11" t="n">
        <f aca="false">E91+F91+G91</f>
        <v>4852.78552989389</v>
      </c>
      <c r="I91" s="17" t="n">
        <f aca="false">MIN(H91,in_OwnerFieldHrs)*rate_Owner+MAX(0,H91-in_OwnerFieldHrs)*rate_Temp</f>
        <v>96749.74878288</v>
      </c>
      <c r="J91" s="17" t="n">
        <f aca="false">B91*in_RevBed_Tom+C91*in_RevBed_Car+D91*in_RevBed_Mes</f>
        <v>202080</v>
      </c>
      <c r="K91" s="17" t="n">
        <f aca="false">B91*in_Fert_Tom+C91*in_Fert_Car+D91*in_Fert_Mes</f>
        <v>43120</v>
      </c>
      <c r="L91" s="17" t="n">
        <f aca="false">J91-I91-K91-in_FixedCost</f>
        <v>42210.2512171201</v>
      </c>
      <c r="M91" s="18" t="str">
        <f aca="false">IF(AND(B91&gt;=0,C91&gt;=0,D91&gt;=0,B91&lt;=in_BedCap_Tom,C91&lt;=in_BedCap_Car,D91&lt;=in_BedCap_Mes,B91+C91+D91&lt;=in_BedsTotal,MAX(0,H91-in_OwnerFieldHrs)&lt;=cap_TempHours),"yes","no")</f>
        <v>yes</v>
      </c>
      <c r="N91" s="18" t="str">
        <f aca="false">IF(AND(M91="yes",L91&gt;calc_Profit+0.005),"BEATS","no")</f>
        <v>no</v>
      </c>
    </row>
    <row r="92" customFormat="false" ht="15" hidden="false" customHeight="false" outlineLevel="0" collapsed="false">
      <c r="A92" s="6" t="s">
        <v>447</v>
      </c>
      <c r="B92" s="25" t="n">
        <f aca="false">dec_Beds_Tom+(0)</f>
        <v>10</v>
      </c>
      <c r="C92" s="25" t="n">
        <f aca="false">dec_Beds_Car+(1)</f>
        <v>21</v>
      </c>
      <c r="D92" s="25" t="n">
        <f aca="false">dec_Beds_Mes+(0)</f>
        <v>30</v>
      </c>
      <c r="E92" s="11" t="n">
        <f aca="false">B92*in_HrsWkBed_Tom*in_WeeksSeason*(1+in_Dim_Tom)^B92</f>
        <v>2334.36821409</v>
      </c>
      <c r="F92" s="11" t="n">
        <f aca="false">C92*in_HrsWkBed_Car*in_WeeksSeason*(1+in_Dim_Car)^C92</f>
        <v>1058.13656631752</v>
      </c>
      <c r="G92" s="11" t="n">
        <f aca="false">D92*in_HrsWkBed_Mes*in_WeeksSeason*(1+in_Dim_Mes)^D92</f>
        <v>1959.67803600965</v>
      </c>
      <c r="H92" s="11" t="n">
        <f aca="false">E92+F92+G92</f>
        <v>5352.18281641717</v>
      </c>
      <c r="I92" s="17" t="n">
        <f aca="false">MIN(H92,in_OwnerFieldHrs)*rate_Owner+MAX(0,H92-in_OwnerFieldHrs)*rate_Temp</f>
        <v>105419.840562798</v>
      </c>
      <c r="J92" s="17" t="n">
        <f aca="false">B92*in_RevBed_Tom+C92*in_RevBed_Car+D92*in_RevBed_Mes</f>
        <v>212974</v>
      </c>
      <c r="K92" s="17" t="n">
        <f aca="false">B92*in_Fert_Tom+C92*in_Fert_Car+D92*in_Fert_Mes</f>
        <v>44440</v>
      </c>
      <c r="L92" s="17" t="n">
        <f aca="false">J92-I92-K92-in_FixedCost</f>
        <v>43114.1594372019</v>
      </c>
      <c r="M92" s="18" t="str">
        <f aca="false">IF(AND(B92&gt;=0,C92&gt;=0,D92&gt;=0,B92&lt;=in_BedCap_Tom,C92&lt;=in_BedCap_Car,D92&lt;=in_BedCap_Mes,B92+C92+D92&lt;=in_BedsTotal,MAX(0,H92-in_OwnerFieldHrs)&lt;=cap_TempHours),"yes","no")</f>
        <v>no</v>
      </c>
      <c r="N92" s="18" t="str">
        <f aca="false">IF(AND(M92="yes",L92&gt;calc_Profit+0.005),"BEATS","no")</f>
        <v>no</v>
      </c>
    </row>
    <row r="93" customFormat="false" ht="15" hidden="false" customHeight="false" outlineLevel="0" collapsed="false">
      <c r="A93" s="6" t="s">
        <v>448</v>
      </c>
      <c r="B93" s="25" t="n">
        <f aca="false">dec_Beds_Tom+(0)</f>
        <v>10</v>
      </c>
      <c r="C93" s="25" t="n">
        <f aca="false">dec_Beds_Car+(-1)</f>
        <v>19</v>
      </c>
      <c r="D93" s="25" t="n">
        <f aca="false">dec_Beds_Mes+(0)</f>
        <v>30</v>
      </c>
      <c r="E93" s="11" t="n">
        <f aca="false">B93*in_HrsWkBed_Tom*in_WeeksSeason*(1+in_Dim_Tom)^B93</f>
        <v>2334.36821409</v>
      </c>
      <c r="F93" s="11" t="n">
        <f aca="false">C93*in_HrsWkBed_Car*in_WeeksSeason*(1+in_Dim_Car)^C93</f>
        <v>911.230605820024</v>
      </c>
      <c r="G93" s="11" t="n">
        <f aca="false">D93*in_HrsWkBed_Mes*in_WeeksSeason*(1+in_Dim_Mes)^D93</f>
        <v>1959.67803600965</v>
      </c>
      <c r="H93" s="11" t="n">
        <f aca="false">E93+F93+G93</f>
        <v>5205.27685591967</v>
      </c>
      <c r="I93" s="17" t="n">
        <f aca="false">MIN(H93,in_OwnerFieldHrs)*rate_Owner+MAX(0,H93-in_OwnerFieldHrs)*rate_Temp</f>
        <v>102869.389859717</v>
      </c>
      <c r="J93" s="17" t="n">
        <f aca="false">B93*in_RevBed_Tom+C93*in_RevBed_Car+D93*in_RevBed_Mes</f>
        <v>208786</v>
      </c>
      <c r="K93" s="17" t="n">
        <f aca="false">B93*in_Fert_Tom+C93*in_Fert_Car+D93*in_Fert_Mes</f>
        <v>43560</v>
      </c>
      <c r="L93" s="17" t="n">
        <f aca="false">J93-I93-K93-in_FixedCost</f>
        <v>42356.6101402835</v>
      </c>
      <c r="M93" s="18" t="str">
        <f aca="false">IF(AND(B93&gt;=0,C93&gt;=0,D93&gt;=0,B93&lt;=in_BedCap_Tom,C93&lt;=in_BedCap_Car,D93&lt;=in_BedCap_Mes,B93+C93+D93&lt;=in_BedsTotal,MAX(0,H93-in_OwnerFieldHrs)&lt;=cap_TempHours),"yes","no")</f>
        <v>yes</v>
      </c>
      <c r="N93" s="18" t="str">
        <f aca="false">IF(AND(M93="yes",L93&gt;calc_Profit+0.005),"BEATS","no")</f>
        <v>no</v>
      </c>
    </row>
    <row r="94" customFormat="false" ht="15" hidden="false" customHeight="false" outlineLevel="0" collapsed="false">
      <c r="A94" s="6" t="s">
        <v>449</v>
      </c>
      <c r="B94" s="25" t="n">
        <f aca="false">dec_Beds_Tom+(0)</f>
        <v>10</v>
      </c>
      <c r="C94" s="25" t="n">
        <f aca="false">dec_Beds_Car+(0)</f>
        <v>20</v>
      </c>
      <c r="D94" s="25" t="n">
        <f aca="false">dec_Beds_Mes+(1)</f>
        <v>31</v>
      </c>
      <c r="E94" s="11" t="n">
        <f aca="false">B94*in_HrsWkBed_Tom*in_WeeksSeason*(1+in_Dim_Tom)^B94</f>
        <v>2334.36821409</v>
      </c>
      <c r="F94" s="11" t="n">
        <f aca="false">C94*in_HrsWkBed_Car*in_WeeksSeason*(1+in_Dim_Car)^C94</f>
        <v>983.169864174237</v>
      </c>
      <c r="G94" s="11" t="n">
        <f aca="false">D94*in_HrsWkBed_Mes*in_WeeksSeason*(1+in_Dim_Mes)^D94</f>
        <v>2050.31314517509</v>
      </c>
      <c r="H94" s="11" t="n">
        <f aca="false">E94+F94+G94</f>
        <v>5367.85122343933</v>
      </c>
      <c r="I94" s="17" t="n">
        <f aca="false">MIN(H94,in_OwnerFieldHrs)*rate_Owner+MAX(0,H94-in_OwnerFieldHrs)*rate_Temp</f>
        <v>105691.861518044</v>
      </c>
      <c r="J94" s="17" t="n">
        <f aca="false">B94*in_RevBed_Tom+C94*in_RevBed_Car+D94*in_RevBed_Mes</f>
        <v>213580</v>
      </c>
      <c r="K94" s="17" t="n">
        <f aca="false">B94*in_Fert_Tom+C94*in_Fert_Car+D94*in_Fert_Mes</f>
        <v>44880</v>
      </c>
      <c r="L94" s="17" t="n">
        <f aca="false">J94-I94-K94-in_FixedCost</f>
        <v>43008.1384819561</v>
      </c>
      <c r="M94" s="18" t="str">
        <f aca="false">IF(AND(B94&gt;=0,C94&gt;=0,D94&gt;=0,B94&lt;=in_BedCap_Tom,C94&lt;=in_BedCap_Car,D94&lt;=in_BedCap_Mes,B94+C94+D94&lt;=in_BedsTotal,MAX(0,H94-in_OwnerFieldHrs)&lt;=cap_TempHours),"yes","no")</f>
        <v>no</v>
      </c>
      <c r="N94" s="18" t="str">
        <f aca="false">IF(AND(M94="yes",L94&gt;calc_Profit+0.005),"BEATS","no")</f>
        <v>no</v>
      </c>
    </row>
    <row r="95" customFormat="false" ht="15" hidden="false" customHeight="false" outlineLevel="0" collapsed="false">
      <c r="A95" s="6" t="s">
        <v>450</v>
      </c>
      <c r="B95" s="25" t="n">
        <f aca="false">dec_Beds_Tom+(0)</f>
        <v>10</v>
      </c>
      <c r="C95" s="25" t="n">
        <f aca="false">dec_Beds_Car+(0)</f>
        <v>20</v>
      </c>
      <c r="D95" s="25" t="n">
        <f aca="false">dec_Beds_Mes+(-1)</f>
        <v>29</v>
      </c>
      <c r="E95" s="11" t="n">
        <f aca="false">B95*in_HrsWkBed_Tom*in_WeeksSeason*(1+in_Dim_Tom)^B95</f>
        <v>2334.36821409</v>
      </c>
      <c r="F95" s="11" t="n">
        <f aca="false">C95*in_HrsWkBed_Car*in_WeeksSeason*(1+in_Dim_Car)^C95</f>
        <v>983.169864174237</v>
      </c>
      <c r="G95" s="11" t="n">
        <f aca="false">D95*in_HrsWkBed_Mes*in_WeeksSeason*(1+in_Dim_Mes)^D95</f>
        <v>1870.96833067588</v>
      </c>
      <c r="H95" s="11" t="n">
        <f aca="false">E95+F95+G95</f>
        <v>5188.50640894012</v>
      </c>
      <c r="I95" s="17" t="n">
        <f aca="false">MIN(H95,in_OwnerFieldHrs)*rate_Owner+MAX(0,H95-in_OwnerFieldHrs)*rate_Temp</f>
        <v>102578.236266321</v>
      </c>
      <c r="J95" s="17" t="n">
        <f aca="false">B95*in_RevBed_Tom+C95*in_RevBed_Car+D95*in_RevBed_Mes</f>
        <v>208180</v>
      </c>
      <c r="K95" s="17" t="n">
        <f aca="false">B95*in_Fert_Tom+C95*in_Fert_Car+D95*in_Fert_Mes</f>
        <v>43120</v>
      </c>
      <c r="L95" s="17" t="n">
        <f aca="false">J95-I95-K95-in_FixedCost</f>
        <v>42481.7637336786</v>
      </c>
      <c r="M95" s="18" t="str">
        <f aca="false">IF(AND(B95&gt;=0,C95&gt;=0,D95&gt;=0,B95&lt;=in_BedCap_Tom,C95&lt;=in_BedCap_Car,D95&lt;=in_BedCap_Mes,B95+C95+D95&lt;=in_BedsTotal,MAX(0,H95-in_OwnerFieldHrs)&lt;=cap_TempHours),"yes","no")</f>
        <v>yes</v>
      </c>
      <c r="N95" s="18" t="str">
        <f aca="false">IF(AND(M95="yes",L95&gt;calc_Profit+0.005),"BEATS","no")</f>
        <v>no</v>
      </c>
    </row>
    <row r="96" customFormat="false" ht="15" hidden="false" customHeight="false" outlineLevel="0" collapsed="false">
      <c r="A96" s="3" t="s">
        <v>451</v>
      </c>
      <c r="B96" s="3"/>
      <c r="C96" s="3"/>
      <c r="D96" s="3"/>
      <c r="E96" s="3"/>
      <c r="F96" s="3"/>
    </row>
    <row r="97" customFormat="false" ht="15" hidden="false" customHeight="false" outlineLevel="0" collapsed="false">
      <c r="A97" s="3" t="s">
        <v>452</v>
      </c>
      <c r="B97" s="3"/>
      <c r="C97" s="3"/>
      <c r="D97" s="3"/>
      <c r="E97" s="3"/>
      <c r="F97" s="3"/>
    </row>
  </sheetData>
  <mergeCells count="15">
    <mergeCell ref="A1:F1"/>
    <mergeCell ref="A2:F2"/>
    <mergeCell ref="A3:F3"/>
    <mergeCell ref="A5:F5"/>
    <mergeCell ref="A11:F11"/>
    <mergeCell ref="A21:F21"/>
    <mergeCell ref="A36:F36"/>
    <mergeCell ref="A47:F47"/>
    <mergeCell ref="A56:F56"/>
    <mergeCell ref="A62:F62"/>
    <mergeCell ref="A83:F83"/>
    <mergeCell ref="A85:F85"/>
    <mergeCell ref="A88:F88"/>
    <mergeCell ref="A96:F96"/>
    <mergeCell ref="A97:F97"/>
  </mergeCells>
  <conditionalFormatting sqref="F7:F86">
    <cfRule type="cellIs" priority="2" operator="equal" aboveAverage="0" equalAverage="0" bottom="0" percent="0" rank="0" text="" dxfId="2">
      <formula>"PASS"</formula>
    </cfRule>
    <cfRule type="cellIs" priority="3" operator="equal" aboveAverage="0" equalAverage="0" bottom="0" percent="0" rank="0" text="" dxfId="0">
      <formula>"FAIL"</formula>
    </cfRule>
    <cfRule type="cellIs" priority="4" operator="equal" aboveAverage="0" equalAverage="0" bottom="0" percent="0" rank="0" text="" dxfId="2">
      <formula>"ALL PASS"</formula>
    </cfRule>
    <cfRule type="cellIs" priority="5" operator="equal" aboveAverage="0" equalAverage="0" bottom="0" percent="0" rank="0" text="" dxfId="1">
      <formula>"AUDIT"</formula>
    </cfRule>
  </conditionalFormatting>
  <conditionalFormatting sqref="N90:N95">
    <cfRule type="cellIs" priority="6" operator="equal" aboveAverage="0" equalAverage="0" bottom="0" percent="0" rank="0" text="" dxfId="0">
      <formula>"BEATS"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2026-10-27T09:28:46Z</dcterms:created>
  <dc:creator>openpyxl</dc:creator>
  <dc:description/>
  <dc:language>en-US</dc:language>
  <cp:lastModifiedBy/>
  <dcterms:modified xsi:type="dcterms:W3CDTF">2026-10-27T09:28:48Z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